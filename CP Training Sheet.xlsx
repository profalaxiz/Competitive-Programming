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Imad_ZSI\Documents\Github\Competitive-Programming\"/>
    </mc:Choice>
  </mc:AlternateContent>
  <xr:revisionPtr revIDLastSave="0" documentId="8_{B3C24C48-10D2-46B8-9577-6DF6F3FB121F}" xr6:coauthVersionLast="47" xr6:coauthVersionMax="47" xr10:uidLastSave="{00000000-0000-0000-0000-000000000000}"/>
  <bookViews>
    <workbookView xWindow="-110" yWindow="-110" windowWidth="25820" windowHeight="15500" activeTab="2" xr2:uid="{00000000-000D-0000-FFFF-FFFF00000000}"/>
  </bookViews>
  <sheets>
    <sheet name="Info" sheetId="1" r:id="rId1"/>
    <sheet name="FAQ" sheetId="2" r:id="rId2"/>
    <sheet name="A" sheetId="3" r:id="rId3"/>
    <sheet name="B" sheetId="4" r:id="rId4"/>
    <sheet name="C1" sheetId="5" r:id="rId5"/>
    <sheet name="C2" sheetId="6" r:id="rId6"/>
    <sheet name="D1" sheetId="7" r:id="rId7"/>
    <sheet name="D2" sheetId="8" r:id="rId8"/>
    <sheet name="D3" sheetId="9" r:id="rId9"/>
    <sheet name="Topics" sheetId="10" r:id="rId10"/>
    <sheet name="Checklist"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1" i="11" l="1"/>
  <c r="B2" i="11"/>
  <c r="M981" i="10"/>
  <c r="M980" i="10"/>
  <c r="M979" i="10"/>
  <c r="M978" i="10"/>
  <c r="M977" i="10"/>
  <c r="M976" i="10"/>
  <c r="M975" i="10"/>
  <c r="M974" i="10"/>
  <c r="M973" i="10"/>
  <c r="M972" i="10"/>
  <c r="M971" i="10"/>
  <c r="M970" i="10"/>
  <c r="M969" i="10"/>
  <c r="M968" i="10"/>
  <c r="M967" i="10"/>
  <c r="M966" i="10"/>
  <c r="M965" i="10"/>
  <c r="M964" i="10"/>
  <c r="M963" i="10"/>
  <c r="M962" i="10"/>
  <c r="M961" i="10"/>
  <c r="M960" i="10"/>
  <c r="M959" i="10"/>
  <c r="M958" i="10"/>
  <c r="M957" i="10"/>
  <c r="M956" i="10"/>
  <c r="M955" i="10"/>
  <c r="M954" i="10"/>
  <c r="M953" i="10"/>
  <c r="M952" i="10"/>
  <c r="M951" i="10"/>
  <c r="M950" i="10"/>
  <c r="M949" i="10"/>
  <c r="M948" i="10"/>
  <c r="M947" i="10"/>
  <c r="M946" i="10"/>
  <c r="M945" i="10"/>
  <c r="M944" i="10"/>
  <c r="M943" i="10"/>
  <c r="M942" i="10"/>
  <c r="M941" i="10"/>
  <c r="M940" i="10"/>
  <c r="M939" i="10"/>
  <c r="M938" i="10"/>
  <c r="M937" i="10"/>
  <c r="M936" i="10"/>
  <c r="M935" i="10"/>
  <c r="M934" i="10"/>
  <c r="M933" i="10"/>
  <c r="M932" i="10"/>
  <c r="M931" i="10"/>
  <c r="M930" i="10"/>
  <c r="M929" i="10"/>
  <c r="M928" i="10"/>
  <c r="M927" i="10"/>
  <c r="M926" i="10"/>
  <c r="M925" i="10"/>
  <c r="M924" i="10"/>
  <c r="M923" i="10"/>
  <c r="M922" i="10"/>
  <c r="M921" i="10"/>
  <c r="M920" i="10"/>
  <c r="M919" i="10"/>
  <c r="M918" i="10"/>
  <c r="M917" i="10"/>
  <c r="M916" i="10"/>
  <c r="M915" i="10"/>
  <c r="M914" i="10"/>
  <c r="M913" i="10"/>
  <c r="M912" i="10"/>
  <c r="M911" i="10"/>
  <c r="M910" i="10"/>
  <c r="M909" i="10"/>
  <c r="M908" i="10"/>
  <c r="M907" i="10"/>
  <c r="M906" i="10"/>
  <c r="M905" i="10"/>
  <c r="M904" i="10"/>
  <c r="I901" i="10"/>
  <c r="B901" i="10"/>
  <c r="I900" i="10"/>
  <c r="B900" i="10"/>
  <c r="I899" i="10"/>
  <c r="B899" i="10"/>
  <c r="M898" i="10"/>
  <c r="I898" i="10"/>
  <c r="B898" i="10"/>
  <c r="I897" i="10"/>
  <c r="B897" i="10"/>
  <c r="I896" i="10"/>
  <c r="B896" i="10"/>
  <c r="M895" i="10"/>
  <c r="I895" i="10"/>
  <c r="B895" i="10"/>
  <c r="I894" i="10"/>
  <c r="B894" i="10"/>
  <c r="I893" i="10"/>
  <c r="B893" i="10"/>
  <c r="I892" i="10"/>
  <c r="B892" i="10"/>
  <c r="I891" i="10"/>
  <c r="B891" i="10"/>
  <c r="I890" i="10"/>
  <c r="B890" i="10"/>
  <c r="I889" i="10"/>
  <c r="B889" i="10"/>
  <c r="M888" i="10"/>
  <c r="I888" i="10"/>
  <c r="I887" i="10"/>
  <c r="B887" i="10"/>
  <c r="I886" i="10"/>
  <c r="B886" i="10"/>
  <c r="M885" i="10"/>
  <c r="I885" i="10"/>
  <c r="I884" i="10"/>
  <c r="B884" i="10"/>
  <c r="I883" i="10"/>
  <c r="B883" i="10"/>
  <c r="I882" i="10"/>
  <c r="B882" i="10"/>
  <c r="I881" i="10"/>
  <c r="B881" i="10"/>
  <c r="I880" i="10"/>
  <c r="B880" i="10"/>
  <c r="M879" i="10"/>
  <c r="I879" i="10"/>
  <c r="I878" i="10"/>
  <c r="B878" i="10"/>
  <c r="I877" i="10"/>
  <c r="B877" i="10"/>
  <c r="I876" i="10"/>
  <c r="B876" i="10"/>
  <c r="I875" i="10"/>
  <c r="B875" i="10"/>
  <c r="I874" i="10"/>
  <c r="B874" i="10"/>
  <c r="I873" i="10"/>
  <c r="B873" i="10"/>
  <c r="I872" i="10"/>
  <c r="B872" i="10"/>
  <c r="I871" i="10"/>
  <c r="B871" i="10"/>
  <c r="I870" i="10"/>
  <c r="B870" i="10"/>
  <c r="I869" i="10"/>
  <c r="B869" i="10"/>
  <c r="I868" i="10"/>
  <c r="B868" i="10"/>
  <c r="M867" i="10"/>
  <c r="I867" i="10"/>
  <c r="B867" i="10"/>
  <c r="M866" i="10"/>
  <c r="I866" i="10"/>
  <c r="M865" i="10"/>
  <c r="I865" i="10"/>
  <c r="M864" i="10"/>
  <c r="I864" i="10"/>
  <c r="M863" i="10"/>
  <c r="I863" i="10"/>
  <c r="B863" i="10"/>
  <c r="M862" i="10"/>
  <c r="I862" i="10"/>
  <c r="B862" i="10"/>
  <c r="M861" i="10"/>
  <c r="I861" i="10"/>
  <c r="B861" i="10"/>
  <c r="I860" i="10"/>
  <c r="B860" i="10"/>
  <c r="M859" i="10"/>
  <c r="I859" i="10"/>
  <c r="B859" i="10"/>
  <c r="I858" i="10"/>
  <c r="B858" i="10"/>
  <c r="I857" i="10"/>
  <c r="B857" i="10"/>
  <c r="M856" i="10"/>
  <c r="I856" i="10"/>
  <c r="B856" i="10"/>
  <c r="I855" i="10"/>
  <c r="B855" i="10"/>
  <c r="M854" i="10"/>
  <c r="I854" i="10"/>
  <c r="B854" i="10"/>
  <c r="M853" i="10"/>
  <c r="I853" i="10"/>
  <c r="B853" i="10"/>
  <c r="M852" i="10"/>
  <c r="I852" i="10"/>
  <c r="B852" i="10"/>
  <c r="M851" i="10"/>
  <c r="I851" i="10"/>
  <c r="B851" i="10"/>
  <c r="M850" i="10"/>
  <c r="I850" i="10"/>
  <c r="B850" i="10"/>
  <c r="I849" i="10"/>
  <c r="B849" i="10"/>
  <c r="I848" i="10"/>
  <c r="B848" i="10"/>
  <c r="I847" i="10"/>
  <c r="B847" i="10"/>
  <c r="M846" i="10"/>
  <c r="I846" i="10"/>
  <c r="B846" i="10"/>
  <c r="I845" i="10"/>
  <c r="B845" i="10"/>
  <c r="I844" i="10"/>
  <c r="B844" i="10"/>
  <c r="I843" i="10"/>
  <c r="B843" i="10"/>
  <c r="M842" i="10"/>
  <c r="I842" i="10"/>
  <c r="B842" i="10"/>
  <c r="I841" i="10"/>
  <c r="B841" i="10"/>
  <c r="I840" i="10"/>
  <c r="B840" i="10"/>
  <c r="I839" i="10"/>
  <c r="B839" i="10"/>
  <c r="I838" i="10"/>
  <c r="B838" i="10"/>
  <c r="M837" i="10"/>
  <c r="I837" i="10"/>
  <c r="B837" i="10"/>
  <c r="I836" i="10"/>
  <c r="B836" i="10"/>
  <c r="I835" i="10"/>
  <c r="B835" i="10"/>
  <c r="M834" i="10"/>
  <c r="I834" i="10"/>
  <c r="B834" i="10"/>
  <c r="I833" i="10"/>
  <c r="B833" i="10"/>
  <c r="I832" i="10"/>
  <c r="B832" i="10"/>
  <c r="M831" i="10"/>
  <c r="I831" i="10"/>
  <c r="B831" i="10"/>
  <c r="I830" i="10"/>
  <c r="B830" i="10"/>
  <c r="M829" i="10"/>
  <c r="I829" i="10"/>
  <c r="B829" i="10"/>
  <c r="M828" i="10"/>
  <c r="I828" i="10"/>
  <c r="B828" i="10"/>
  <c r="I827" i="10"/>
  <c r="M826" i="10"/>
  <c r="I826" i="10"/>
  <c r="B826" i="10"/>
  <c r="I825" i="10"/>
  <c r="B825" i="10"/>
  <c r="M824" i="10"/>
  <c r="I824" i="10"/>
  <c r="B824" i="10"/>
  <c r="I823" i="10"/>
  <c r="B823" i="10"/>
  <c r="I822" i="10"/>
  <c r="B822" i="10"/>
  <c r="I821" i="10"/>
  <c r="B821" i="10"/>
  <c r="I820" i="10"/>
  <c r="B820" i="10"/>
  <c r="M819" i="10"/>
  <c r="I819" i="10"/>
  <c r="B819" i="10"/>
  <c r="I818" i="10"/>
  <c r="B818" i="10"/>
  <c r="I817" i="10"/>
  <c r="B817" i="10"/>
  <c r="I816" i="10"/>
  <c r="I815" i="10"/>
  <c r="I814" i="10"/>
  <c r="B814" i="10"/>
  <c r="I813" i="10"/>
  <c r="B813" i="10"/>
  <c r="I812" i="10"/>
  <c r="B812" i="10"/>
  <c r="M811" i="10"/>
  <c r="I811" i="10"/>
  <c r="B811" i="10"/>
  <c r="M810" i="10"/>
  <c r="I810" i="10"/>
  <c r="B810" i="10"/>
  <c r="I809" i="10"/>
  <c r="B809" i="10"/>
  <c r="I808" i="10"/>
  <c r="M807" i="10"/>
  <c r="I807" i="10"/>
  <c r="B807" i="10"/>
  <c r="I806" i="10"/>
  <c r="B806" i="10"/>
  <c r="I805" i="10"/>
  <c r="B805" i="10"/>
  <c r="M804" i="10"/>
  <c r="I804" i="10"/>
  <c r="M803" i="10"/>
  <c r="I803" i="10"/>
  <c r="M802" i="10"/>
  <c r="I802" i="10"/>
  <c r="B802" i="10"/>
  <c r="I801" i="10"/>
  <c r="I800" i="10"/>
  <c r="B800" i="10"/>
  <c r="M799" i="10"/>
  <c r="I799" i="10"/>
  <c r="B799" i="10"/>
  <c r="I798" i="10"/>
  <c r="M797" i="10"/>
  <c r="I797" i="10"/>
  <c r="B797" i="10"/>
  <c r="M796" i="10"/>
  <c r="I796" i="10"/>
  <c r="B796" i="10"/>
  <c r="I795" i="10"/>
  <c r="M794" i="10"/>
  <c r="I794" i="10"/>
  <c r="B794" i="10"/>
  <c r="I793" i="10"/>
  <c r="B793" i="10"/>
  <c r="M792" i="10"/>
  <c r="I792" i="10"/>
  <c r="B792" i="10"/>
  <c r="M791" i="10"/>
  <c r="I791" i="10"/>
  <c r="B791" i="10"/>
  <c r="M790" i="10"/>
  <c r="I790" i="10"/>
  <c r="B790" i="10"/>
  <c r="M789" i="10"/>
  <c r="I789" i="10"/>
  <c r="B789" i="10"/>
  <c r="M788" i="10"/>
  <c r="I788" i="10"/>
  <c r="B788" i="10"/>
  <c r="I787" i="10"/>
  <c r="B787" i="10"/>
  <c r="I786" i="10"/>
  <c r="B786" i="10"/>
  <c r="M785" i="10"/>
  <c r="I785" i="10"/>
  <c r="B785" i="10"/>
  <c r="I784" i="10"/>
  <c r="B784" i="10"/>
  <c r="I783" i="10"/>
  <c r="B783" i="10"/>
  <c r="I782" i="10"/>
  <c r="B782" i="10"/>
  <c r="I781" i="10"/>
  <c r="B781" i="10"/>
  <c r="I780" i="10"/>
  <c r="B780" i="10"/>
  <c r="I779" i="10"/>
  <c r="B779" i="10"/>
  <c r="I778" i="10"/>
  <c r="B778" i="10"/>
  <c r="I777" i="10"/>
  <c r="B777" i="10"/>
  <c r="M776" i="10"/>
  <c r="I776" i="10"/>
  <c r="B776" i="10"/>
  <c r="I775" i="10"/>
  <c r="B775" i="10"/>
  <c r="M774" i="10"/>
  <c r="I774" i="10"/>
  <c r="B774" i="10"/>
  <c r="M773" i="10"/>
  <c r="I773" i="10"/>
  <c r="I772" i="10"/>
  <c r="B772" i="10"/>
  <c r="M771" i="10"/>
  <c r="I771" i="10"/>
  <c r="B771" i="10"/>
  <c r="M770" i="10"/>
  <c r="I770" i="10"/>
  <c r="B770" i="10"/>
  <c r="I769" i="10"/>
  <c r="B769" i="10"/>
  <c r="M768" i="10"/>
  <c r="I768" i="10"/>
  <c r="B768" i="10"/>
  <c r="M767" i="10"/>
  <c r="I767" i="10"/>
  <c r="B767" i="10"/>
  <c r="I766" i="10"/>
  <c r="B766" i="10"/>
  <c r="I765" i="10"/>
  <c r="B765" i="10"/>
  <c r="I764" i="10"/>
  <c r="B764" i="10"/>
  <c r="I763" i="10"/>
  <c r="B763" i="10"/>
  <c r="I762" i="10"/>
  <c r="B762" i="10"/>
  <c r="M761" i="10"/>
  <c r="I761" i="10"/>
  <c r="B761" i="10"/>
  <c r="M760" i="10"/>
  <c r="I760" i="10"/>
  <c r="B760" i="10"/>
  <c r="M759" i="10"/>
  <c r="I759" i="10"/>
  <c r="B759" i="10"/>
  <c r="I758" i="10"/>
  <c r="B758" i="10"/>
  <c r="M757" i="10"/>
  <c r="I757" i="10"/>
  <c r="M756" i="10"/>
  <c r="I756" i="10"/>
  <c r="B756" i="10"/>
  <c r="I755" i="10"/>
  <c r="B755" i="10"/>
  <c r="I754" i="10"/>
  <c r="B754" i="10"/>
  <c r="I753" i="10"/>
  <c r="B753" i="10"/>
  <c r="I752" i="10"/>
  <c r="I751" i="10"/>
  <c r="B751" i="10"/>
  <c r="I750" i="10"/>
  <c r="B750" i="10"/>
  <c r="M749" i="10"/>
  <c r="I749" i="10"/>
  <c r="B749" i="10"/>
  <c r="M748" i="10"/>
  <c r="I748" i="10"/>
  <c r="B748" i="10"/>
  <c r="I747" i="10"/>
  <c r="B747" i="10"/>
  <c r="M746" i="10"/>
  <c r="I746" i="10"/>
  <c r="B746" i="10"/>
  <c r="M745" i="10"/>
  <c r="I745" i="10"/>
  <c r="B745" i="10"/>
  <c r="I744" i="10"/>
  <c r="B744" i="10"/>
  <c r="M743" i="10"/>
  <c r="I743" i="10"/>
  <c r="B743" i="10"/>
  <c r="M742" i="10"/>
  <c r="I742" i="10"/>
  <c r="B742" i="10"/>
  <c r="I741" i="10"/>
  <c r="B741" i="10"/>
  <c r="I740" i="10"/>
  <c r="B740" i="10"/>
  <c r="M739" i="10"/>
  <c r="I739" i="10"/>
  <c r="B739" i="10"/>
  <c r="I738" i="10"/>
  <c r="B738" i="10"/>
  <c r="I737" i="10"/>
  <c r="B737" i="10"/>
  <c r="I736" i="10"/>
  <c r="B736" i="10"/>
  <c r="M735" i="10"/>
  <c r="I735" i="10"/>
  <c r="B735" i="10"/>
  <c r="I734" i="10"/>
  <c r="B734" i="10"/>
  <c r="M733" i="10"/>
  <c r="I733" i="10"/>
  <c r="B733" i="10"/>
  <c r="M732" i="10"/>
  <c r="I732" i="10"/>
  <c r="B732" i="10"/>
  <c r="M731" i="10"/>
  <c r="I731" i="10"/>
  <c r="B731" i="10"/>
  <c r="I730" i="10"/>
  <c r="B730" i="10"/>
  <c r="M729" i="10"/>
  <c r="I729" i="10"/>
  <c r="B729" i="10"/>
  <c r="M728" i="10"/>
  <c r="I728" i="10"/>
  <c r="B728" i="10"/>
  <c r="M727" i="10"/>
  <c r="I727" i="10"/>
  <c r="B727" i="10"/>
  <c r="I726" i="10"/>
  <c r="B726" i="10"/>
  <c r="I725" i="10"/>
  <c r="B725" i="10"/>
  <c r="I724" i="10"/>
  <c r="B724" i="10"/>
  <c r="I723" i="10"/>
  <c r="B723" i="10"/>
  <c r="I722" i="10"/>
  <c r="B722" i="10"/>
  <c r="I721" i="10"/>
  <c r="B721" i="10"/>
  <c r="I720" i="10"/>
  <c r="B720" i="10"/>
  <c r="M719" i="10"/>
  <c r="I719" i="10"/>
  <c r="B719" i="10"/>
  <c r="I718" i="10"/>
  <c r="B718" i="10"/>
  <c r="I717" i="10"/>
  <c r="B717" i="10"/>
  <c r="I716" i="10"/>
  <c r="B716" i="10"/>
  <c r="I715" i="10"/>
  <c r="B715" i="10"/>
  <c r="I714" i="10"/>
  <c r="B714" i="10"/>
  <c r="I713" i="10"/>
  <c r="B713" i="10"/>
  <c r="I712" i="10"/>
  <c r="B712" i="10"/>
  <c r="I711" i="10"/>
  <c r="B711" i="10"/>
  <c r="I710" i="10"/>
  <c r="B710" i="10"/>
  <c r="I709" i="10"/>
  <c r="B709" i="10"/>
  <c r="M708" i="10"/>
  <c r="I708" i="10"/>
  <c r="B708" i="10"/>
  <c r="I707" i="10"/>
  <c r="B707" i="10"/>
  <c r="I706" i="10"/>
  <c r="B706" i="10"/>
  <c r="I705" i="10"/>
  <c r="B705" i="10"/>
  <c r="I704" i="10"/>
  <c r="B704" i="10"/>
  <c r="I703" i="10"/>
  <c r="B703" i="10"/>
  <c r="I702" i="10"/>
  <c r="B702" i="10"/>
  <c r="M701" i="10"/>
  <c r="I701" i="10"/>
  <c r="B701" i="10"/>
  <c r="M700" i="10"/>
  <c r="I700" i="10"/>
  <c r="B700" i="10"/>
  <c r="I699" i="10"/>
  <c r="B699" i="10"/>
  <c r="I698" i="10"/>
  <c r="B698" i="10"/>
  <c r="I697" i="10"/>
  <c r="B697" i="10"/>
  <c r="M696" i="10"/>
  <c r="I696" i="10"/>
  <c r="B696" i="10"/>
  <c r="I695" i="10"/>
  <c r="B695" i="10"/>
  <c r="I694" i="10"/>
  <c r="B694" i="10"/>
  <c r="I693" i="10"/>
  <c r="B693" i="10"/>
  <c r="M692" i="10"/>
  <c r="I692" i="10"/>
  <c r="B692" i="10"/>
  <c r="M691" i="10"/>
  <c r="I691" i="10"/>
  <c r="B691" i="10"/>
  <c r="I690" i="10"/>
  <c r="B690" i="10"/>
  <c r="M689" i="10"/>
  <c r="I689" i="10"/>
  <c r="B689" i="10"/>
  <c r="I688" i="10"/>
  <c r="B688" i="10"/>
  <c r="I687" i="10"/>
  <c r="B687" i="10"/>
  <c r="I686" i="10"/>
  <c r="B686" i="10"/>
  <c r="M685" i="10"/>
  <c r="I685" i="10"/>
  <c r="B685" i="10"/>
  <c r="I684" i="10"/>
  <c r="B684" i="10"/>
  <c r="M683" i="10"/>
  <c r="I683" i="10"/>
  <c r="B683" i="10"/>
  <c r="M682" i="10"/>
  <c r="I682" i="10"/>
  <c r="B682" i="10"/>
  <c r="M681" i="10"/>
  <c r="I681" i="10"/>
  <c r="B681" i="10"/>
  <c r="I680" i="10"/>
  <c r="B680" i="10"/>
  <c r="M679" i="10"/>
  <c r="I679" i="10"/>
  <c r="B679" i="10"/>
  <c r="M678" i="10"/>
  <c r="I678" i="10"/>
  <c r="B678" i="10"/>
  <c r="I677" i="10"/>
  <c r="B677" i="10"/>
  <c r="M676" i="10"/>
  <c r="I676" i="10"/>
  <c r="B676" i="10"/>
  <c r="I675" i="10"/>
  <c r="B675" i="10"/>
  <c r="I674" i="10"/>
  <c r="B674" i="10"/>
  <c r="I673" i="10"/>
  <c r="B673" i="10"/>
  <c r="M672" i="10"/>
  <c r="I672" i="10"/>
  <c r="B672" i="10"/>
  <c r="I671" i="10"/>
  <c r="B671" i="10"/>
  <c r="M670" i="10"/>
  <c r="I670" i="10"/>
  <c r="B670" i="10"/>
  <c r="I669" i="10"/>
  <c r="B669" i="10"/>
  <c r="M668" i="10"/>
  <c r="I668" i="10"/>
  <c r="B668" i="10"/>
  <c r="I667" i="10"/>
  <c r="B667" i="10"/>
  <c r="I666" i="10"/>
  <c r="B666" i="10"/>
  <c r="M665" i="10"/>
  <c r="I665" i="10"/>
  <c r="B665" i="10"/>
  <c r="I664" i="10"/>
  <c r="B664" i="10"/>
  <c r="I663" i="10"/>
  <c r="B663" i="10"/>
  <c r="I662" i="10"/>
  <c r="B662" i="10"/>
  <c r="M661" i="10"/>
  <c r="I661" i="10"/>
  <c r="B661" i="10"/>
  <c r="I660" i="10"/>
  <c r="B660" i="10"/>
  <c r="I659" i="10"/>
  <c r="B659" i="10"/>
  <c r="I658" i="10"/>
  <c r="B658" i="10"/>
  <c r="I657" i="10"/>
  <c r="B657" i="10"/>
  <c r="I656" i="10"/>
  <c r="B656" i="10"/>
  <c r="I655" i="10"/>
  <c r="B655" i="10"/>
  <c r="I654" i="10"/>
  <c r="B654" i="10"/>
  <c r="I653" i="10"/>
  <c r="B653" i="10"/>
  <c r="I652" i="10"/>
  <c r="B652" i="10"/>
  <c r="I651" i="10"/>
  <c r="B651" i="10"/>
  <c r="I650" i="10"/>
  <c r="B650" i="10"/>
  <c r="I649" i="10"/>
  <c r="B649" i="10"/>
  <c r="I648" i="10"/>
  <c r="B648" i="10"/>
  <c r="I647" i="10"/>
  <c r="B647" i="10"/>
  <c r="I646" i="10"/>
  <c r="B646" i="10"/>
  <c r="I645" i="10"/>
  <c r="B645" i="10"/>
  <c r="M644" i="10"/>
  <c r="I644" i="10"/>
  <c r="B644" i="10"/>
  <c r="M643" i="10"/>
  <c r="I643" i="10"/>
  <c r="B643" i="10"/>
  <c r="M642" i="10"/>
  <c r="I642" i="10"/>
  <c r="B642" i="10"/>
  <c r="I641" i="10"/>
  <c r="B641" i="10"/>
  <c r="I640" i="10"/>
  <c r="B640" i="10"/>
  <c r="I639" i="10"/>
  <c r="I638" i="10"/>
  <c r="B638" i="10"/>
  <c r="I637" i="10"/>
  <c r="I636" i="10"/>
  <c r="B636" i="10"/>
  <c r="M635" i="10"/>
  <c r="I635" i="10"/>
  <c r="B635" i="10"/>
  <c r="I634" i="10"/>
  <c r="B634" i="10"/>
  <c r="I633" i="10"/>
  <c r="B633" i="10"/>
  <c r="I632" i="10"/>
  <c r="B632" i="10"/>
  <c r="I631" i="10"/>
  <c r="B631" i="10"/>
  <c r="I630" i="10"/>
  <c r="B630" i="10"/>
  <c r="I629" i="10"/>
  <c r="B629" i="10"/>
  <c r="I628" i="10"/>
  <c r="B628" i="10"/>
  <c r="I627" i="10"/>
  <c r="B627" i="10"/>
  <c r="M626" i="10"/>
  <c r="I626" i="10"/>
  <c r="B626" i="10"/>
  <c r="I625" i="10"/>
  <c r="M624" i="10"/>
  <c r="I624" i="10"/>
  <c r="I623" i="10"/>
  <c r="B623" i="10"/>
  <c r="I622" i="10"/>
  <c r="I621" i="10"/>
  <c r="B621" i="10"/>
  <c r="M620" i="10"/>
  <c r="I620" i="10"/>
  <c r="B620" i="10"/>
  <c r="I619" i="10"/>
  <c r="B619" i="10"/>
  <c r="I618" i="10"/>
  <c r="B618" i="10"/>
  <c r="I617" i="10"/>
  <c r="I616" i="10"/>
  <c r="B616" i="10"/>
  <c r="I615" i="10"/>
  <c r="B615" i="10"/>
  <c r="M614" i="10"/>
  <c r="I614" i="10"/>
  <c r="B614" i="10"/>
  <c r="I613" i="10"/>
  <c r="B613" i="10"/>
  <c r="M612" i="10"/>
  <c r="I612" i="10"/>
  <c r="B612" i="10"/>
  <c r="I611" i="10"/>
  <c r="B611" i="10"/>
  <c r="I610" i="10"/>
  <c r="B610" i="10"/>
  <c r="I609" i="10"/>
  <c r="B609" i="10"/>
  <c r="I608" i="10"/>
  <c r="B608" i="10"/>
  <c r="I607" i="10"/>
  <c r="B607" i="10"/>
  <c r="I606" i="10"/>
  <c r="B606" i="10"/>
  <c r="I605" i="10"/>
  <c r="I604" i="10"/>
  <c r="B604" i="10"/>
  <c r="M603" i="10"/>
  <c r="I603" i="10"/>
  <c r="B603" i="10"/>
  <c r="I602" i="10"/>
  <c r="B602" i="10"/>
  <c r="M601" i="10"/>
  <c r="I601" i="10"/>
  <c r="B601" i="10"/>
  <c r="I600" i="10"/>
  <c r="B600" i="10"/>
  <c r="I599" i="10"/>
  <c r="I598" i="10"/>
  <c r="B598" i="10"/>
  <c r="I597" i="10"/>
  <c r="B597" i="10"/>
  <c r="I596" i="10"/>
  <c r="B596" i="10"/>
  <c r="I595" i="10"/>
  <c r="B595" i="10"/>
  <c r="I594" i="10"/>
  <c r="B594" i="10"/>
  <c r="I593" i="10"/>
  <c r="B593" i="10"/>
  <c r="M592" i="10"/>
  <c r="I592" i="10"/>
  <c r="B592" i="10"/>
  <c r="I591" i="10"/>
  <c r="B591" i="10"/>
  <c r="I590" i="10"/>
  <c r="B590" i="10"/>
  <c r="I589" i="10"/>
  <c r="B589" i="10"/>
  <c r="I588" i="10"/>
  <c r="B588" i="10"/>
  <c r="I587" i="10"/>
  <c r="B587" i="10"/>
  <c r="M586" i="10"/>
  <c r="I586" i="10"/>
  <c r="B586" i="10"/>
  <c r="M585" i="10"/>
  <c r="I585" i="10"/>
  <c r="B585" i="10"/>
  <c r="I584" i="10"/>
  <c r="B584" i="10"/>
  <c r="I583" i="10"/>
  <c r="B583" i="10"/>
  <c r="I582" i="10"/>
  <c r="B582" i="10"/>
  <c r="I581" i="10"/>
  <c r="B581" i="10"/>
  <c r="M580" i="10"/>
  <c r="I580" i="10"/>
  <c r="B580" i="10"/>
  <c r="I579" i="10"/>
  <c r="B579" i="10"/>
  <c r="I578" i="10"/>
  <c r="I577" i="10"/>
  <c r="M576" i="10"/>
  <c r="I576" i="10"/>
  <c r="M575" i="10"/>
  <c r="I575" i="10"/>
  <c r="B575" i="10"/>
  <c r="I574" i="10"/>
  <c r="I573" i="10"/>
  <c r="B573" i="10"/>
  <c r="M572" i="10"/>
  <c r="I572" i="10"/>
  <c r="B572" i="10"/>
  <c r="M571" i="10"/>
  <c r="I571" i="10"/>
  <c r="B571" i="10"/>
  <c r="M570" i="10"/>
  <c r="I570" i="10"/>
  <c r="B570" i="10"/>
  <c r="I569" i="10"/>
  <c r="B569" i="10"/>
  <c r="I568" i="10"/>
  <c r="A568" i="10"/>
  <c r="I567" i="10"/>
  <c r="B567" i="10"/>
  <c r="I566" i="10"/>
  <c r="A566" i="10"/>
  <c r="I565" i="10"/>
  <c r="B565" i="10"/>
  <c r="M564" i="10"/>
  <c r="I564" i="10"/>
  <c r="B564" i="10"/>
  <c r="I563" i="10"/>
  <c r="B563" i="10"/>
  <c r="I562" i="10"/>
  <c r="A562" i="10"/>
  <c r="M561" i="10"/>
  <c r="I561" i="10"/>
  <c r="B561" i="10"/>
  <c r="M560" i="10"/>
  <c r="I560" i="10"/>
  <c r="I559" i="10"/>
  <c r="B559" i="10"/>
  <c r="M558" i="10"/>
  <c r="I558" i="10"/>
  <c r="B558" i="10"/>
  <c r="M557" i="10"/>
  <c r="I557" i="10"/>
  <c r="M556" i="10"/>
  <c r="I556" i="10"/>
  <c r="M555" i="10"/>
  <c r="I555" i="10"/>
  <c r="A555" i="10"/>
  <c r="M554" i="10"/>
  <c r="I554" i="10"/>
  <c r="B554" i="10"/>
  <c r="M553" i="10"/>
  <c r="I553" i="10"/>
  <c r="B553" i="10"/>
  <c r="M552" i="10"/>
  <c r="I552" i="10"/>
  <c r="B552" i="10"/>
  <c r="M551" i="10"/>
  <c r="I551" i="10"/>
  <c r="M550" i="10"/>
  <c r="I550" i="10"/>
  <c r="M549" i="10"/>
  <c r="I549" i="10"/>
  <c r="M548" i="10"/>
  <c r="I548" i="10"/>
  <c r="B548" i="10"/>
  <c r="M547" i="10"/>
  <c r="I547" i="10"/>
  <c r="B547" i="10"/>
  <c r="M546" i="10"/>
  <c r="I546" i="10"/>
  <c r="M545" i="10"/>
  <c r="I545" i="10"/>
  <c r="M544" i="10"/>
  <c r="I544" i="10"/>
  <c r="M543" i="10"/>
  <c r="I543" i="10"/>
  <c r="B543" i="10"/>
  <c r="M542" i="10"/>
  <c r="I542" i="10"/>
  <c r="B542" i="10"/>
  <c r="M541" i="10"/>
  <c r="I541" i="10"/>
  <c r="B541" i="10"/>
  <c r="M540" i="10"/>
  <c r="I540" i="10"/>
  <c r="B540" i="10"/>
  <c r="M539" i="10"/>
  <c r="I539" i="10"/>
  <c r="B539" i="10"/>
  <c r="M538" i="10"/>
  <c r="I538" i="10"/>
  <c r="B538" i="10"/>
  <c r="I537" i="10"/>
  <c r="B537" i="10"/>
  <c r="M536" i="10"/>
  <c r="I536" i="10"/>
  <c r="B536" i="10"/>
  <c r="M535" i="10"/>
  <c r="I535" i="10"/>
  <c r="B535" i="10"/>
  <c r="M534" i="10"/>
  <c r="I534" i="10"/>
  <c r="B534" i="10"/>
  <c r="M533" i="10"/>
  <c r="I533" i="10"/>
  <c r="B533" i="10"/>
  <c r="M532" i="10"/>
  <c r="I532" i="10"/>
  <c r="B532" i="10"/>
  <c r="M531" i="10"/>
  <c r="I531" i="10"/>
  <c r="B531" i="10"/>
  <c r="I530" i="10"/>
  <c r="B530" i="10"/>
  <c r="I529" i="10"/>
  <c r="B529" i="10"/>
  <c r="I528" i="10"/>
  <c r="B528" i="10"/>
  <c r="M527" i="10"/>
  <c r="I527" i="10"/>
  <c r="B527" i="10"/>
  <c r="M526" i="10"/>
  <c r="I526" i="10"/>
  <c r="B526" i="10"/>
  <c r="M525" i="10"/>
  <c r="I525" i="10"/>
  <c r="B525" i="10"/>
  <c r="M524" i="10"/>
  <c r="I524" i="10"/>
  <c r="B524" i="10"/>
  <c r="I523" i="10"/>
  <c r="B523" i="10"/>
  <c r="I522" i="10"/>
  <c r="I521" i="10"/>
  <c r="B521" i="10"/>
  <c r="M520" i="10"/>
  <c r="I520" i="10"/>
  <c r="B520" i="10"/>
  <c r="I519" i="10"/>
  <c r="B519" i="10"/>
  <c r="I518" i="10"/>
  <c r="B518" i="10"/>
  <c r="M517" i="10"/>
  <c r="I517" i="10"/>
  <c r="M516" i="10"/>
  <c r="I516" i="10"/>
  <c r="B516" i="10"/>
  <c r="I515" i="10"/>
  <c r="B515" i="10"/>
  <c r="M514" i="10"/>
  <c r="I514" i="10"/>
  <c r="B514" i="10"/>
  <c r="I513" i="10"/>
  <c r="M512" i="10"/>
  <c r="I512" i="10"/>
  <c r="M511" i="10"/>
  <c r="I511" i="10"/>
  <c r="M510" i="10"/>
  <c r="I510" i="10"/>
  <c r="I509" i="10"/>
  <c r="B509" i="10"/>
  <c r="M508" i="10"/>
  <c r="I508" i="10"/>
  <c r="I507" i="10"/>
  <c r="B507" i="10"/>
  <c r="M506" i="10"/>
  <c r="I506" i="10"/>
  <c r="B506" i="10"/>
  <c r="M505" i="10"/>
  <c r="I505" i="10"/>
  <c r="B505" i="10"/>
  <c r="I504" i="10"/>
  <c r="B504" i="10"/>
  <c r="I503" i="10"/>
  <c r="B503" i="10"/>
  <c r="M502" i="10"/>
  <c r="I502" i="10"/>
  <c r="B502" i="10"/>
  <c r="I501" i="10"/>
  <c r="B501" i="10"/>
  <c r="I500" i="10"/>
  <c r="B500" i="10"/>
  <c r="I499" i="10"/>
  <c r="M498" i="10"/>
  <c r="I498" i="10"/>
  <c r="B498" i="10"/>
  <c r="M497" i="10"/>
  <c r="I497" i="10"/>
  <c r="B497" i="10"/>
  <c r="I496" i="10"/>
  <c r="B496" i="10"/>
  <c r="I495" i="10"/>
  <c r="M494" i="10"/>
  <c r="I494" i="10"/>
  <c r="B494" i="10"/>
  <c r="M493" i="10"/>
  <c r="I493" i="10"/>
  <c r="B493" i="10"/>
  <c r="M492" i="10"/>
  <c r="I492" i="10"/>
  <c r="B492" i="10"/>
  <c r="M491" i="10"/>
  <c r="I491" i="10"/>
  <c r="B491" i="10"/>
  <c r="I490" i="10"/>
  <c r="M489" i="10"/>
  <c r="I489" i="10"/>
  <c r="B489" i="10"/>
  <c r="M488" i="10"/>
  <c r="I488" i="10"/>
  <c r="B488" i="10"/>
  <c r="M487" i="10"/>
  <c r="I487" i="10"/>
  <c r="B487" i="10"/>
  <c r="M486" i="10"/>
  <c r="I486" i="10"/>
  <c r="B486" i="10"/>
  <c r="M485" i="10"/>
  <c r="I485" i="10"/>
  <c r="B485" i="10"/>
  <c r="M484" i="10"/>
  <c r="I484" i="10"/>
  <c r="B484" i="10"/>
  <c r="M483" i="10"/>
  <c r="I483" i="10"/>
  <c r="B483" i="10"/>
  <c r="I482" i="10"/>
  <c r="B482" i="10"/>
  <c r="I481" i="10"/>
  <c r="B481" i="10"/>
  <c r="I480" i="10"/>
  <c r="B480" i="10"/>
  <c r="I479" i="10"/>
  <c r="B479" i="10"/>
  <c r="I478" i="10"/>
  <c r="B478" i="10"/>
  <c r="M477" i="10"/>
  <c r="I477" i="10"/>
  <c r="I476" i="10"/>
  <c r="B476" i="10"/>
  <c r="I475" i="10"/>
  <c r="B475" i="10"/>
  <c r="I474" i="10"/>
  <c r="B474" i="10"/>
  <c r="I473" i="10"/>
  <c r="B473" i="10"/>
  <c r="I472" i="10"/>
  <c r="B472" i="10"/>
  <c r="M471" i="10"/>
  <c r="I471" i="10"/>
  <c r="B471" i="10"/>
  <c r="I470" i="10"/>
  <c r="B470" i="10"/>
  <c r="I469" i="10"/>
  <c r="B469" i="10"/>
  <c r="M468" i="10"/>
  <c r="I468" i="10"/>
  <c r="B468" i="10"/>
  <c r="I467" i="10"/>
  <c r="B467" i="10"/>
  <c r="I466" i="10"/>
  <c r="B466" i="10"/>
  <c r="I465" i="10"/>
  <c r="I464" i="10"/>
  <c r="B464" i="10"/>
  <c r="I463" i="10"/>
  <c r="B463" i="10"/>
  <c r="M462" i="10"/>
  <c r="I462" i="10"/>
  <c r="I461" i="10"/>
  <c r="I460" i="10"/>
  <c r="B460" i="10"/>
  <c r="M459" i="10"/>
  <c r="I459" i="10"/>
  <c r="B459" i="10"/>
  <c r="I458" i="10"/>
  <c r="B458" i="10"/>
  <c r="I457" i="10"/>
  <c r="I456" i="10"/>
  <c r="B456" i="10"/>
  <c r="I455" i="10"/>
  <c r="B455" i="10"/>
  <c r="I454" i="10"/>
  <c r="B454" i="10"/>
  <c r="M453" i="10"/>
  <c r="I453" i="10"/>
  <c r="B453" i="10"/>
  <c r="I452" i="10"/>
  <c r="B452" i="10"/>
  <c r="M451" i="10"/>
  <c r="I451" i="10"/>
  <c r="B451" i="10"/>
  <c r="M450" i="10"/>
  <c r="I450" i="10"/>
  <c r="B450" i="10"/>
  <c r="M449" i="10"/>
  <c r="I449" i="10"/>
  <c r="B449" i="10"/>
  <c r="M448" i="10"/>
  <c r="I448" i="10"/>
  <c r="B448" i="10"/>
  <c r="M447" i="10"/>
  <c r="I447" i="10"/>
  <c r="B447" i="10"/>
  <c r="M446" i="10"/>
  <c r="I446" i="10"/>
  <c r="B446" i="10"/>
  <c r="M445" i="10"/>
  <c r="I445" i="10"/>
  <c r="B445" i="10"/>
  <c r="I444" i="10"/>
  <c r="B444" i="10"/>
  <c r="M443" i="10"/>
  <c r="I443" i="10"/>
  <c r="I442" i="10"/>
  <c r="B442" i="10"/>
  <c r="I441" i="10"/>
  <c r="B441" i="10"/>
  <c r="I440" i="10"/>
  <c r="B440" i="10"/>
  <c r="I439" i="10"/>
  <c r="B439" i="10"/>
  <c r="I438" i="10"/>
  <c r="B438" i="10"/>
  <c r="I437" i="10"/>
  <c r="B437" i="10"/>
  <c r="I436" i="10"/>
  <c r="B436" i="10"/>
  <c r="M435" i="10"/>
  <c r="I435" i="10"/>
  <c r="B435" i="10"/>
  <c r="M434" i="10"/>
  <c r="I434" i="10"/>
  <c r="B434" i="10"/>
  <c r="M433" i="10"/>
  <c r="I433" i="10"/>
  <c r="B433" i="10"/>
  <c r="I432" i="10"/>
  <c r="B432" i="10"/>
  <c r="I431" i="10"/>
  <c r="B431" i="10"/>
  <c r="I430" i="10"/>
  <c r="B430" i="10"/>
  <c r="M429" i="10"/>
  <c r="I429" i="10"/>
  <c r="B429" i="10"/>
  <c r="M428" i="10"/>
  <c r="I428" i="10"/>
  <c r="B428" i="10"/>
  <c r="M427" i="10"/>
  <c r="I427" i="10"/>
  <c r="B427" i="10"/>
  <c r="M426" i="10"/>
  <c r="I426" i="10"/>
  <c r="B426" i="10"/>
  <c r="I425" i="10"/>
  <c r="B425" i="10"/>
  <c r="M424" i="10"/>
  <c r="I424" i="10"/>
  <c r="B424" i="10"/>
  <c r="M423" i="10"/>
  <c r="I423" i="10"/>
  <c r="I422" i="10"/>
  <c r="B422" i="10"/>
  <c r="M421" i="10"/>
  <c r="I421" i="10"/>
  <c r="B421" i="10"/>
  <c r="M420" i="10"/>
  <c r="I420" i="10"/>
  <c r="B420" i="10"/>
  <c r="M419" i="10"/>
  <c r="I419" i="10"/>
  <c r="B419" i="10"/>
  <c r="I418" i="10"/>
  <c r="B418" i="10"/>
  <c r="M417" i="10"/>
  <c r="I417" i="10"/>
  <c r="M416" i="10"/>
  <c r="I416" i="10"/>
  <c r="M415" i="10"/>
  <c r="I415" i="10"/>
  <c r="I414" i="10"/>
  <c r="B414" i="10"/>
  <c r="I413" i="10"/>
  <c r="A413" i="10"/>
  <c r="M412" i="10"/>
  <c r="I412" i="10"/>
  <c r="M411" i="10"/>
  <c r="I411" i="10"/>
  <c r="B411" i="10"/>
  <c r="M410" i="10"/>
  <c r="I410" i="10"/>
  <c r="B410" i="10"/>
  <c r="M409" i="10"/>
  <c r="I409" i="10"/>
  <c r="B409" i="10"/>
  <c r="M408" i="10"/>
  <c r="I408" i="10"/>
  <c r="M407" i="10"/>
  <c r="I407" i="10"/>
  <c r="B407" i="10"/>
  <c r="M406" i="10"/>
  <c r="I406" i="10"/>
  <c r="I405" i="10"/>
  <c r="B405" i="10"/>
  <c r="M404" i="10"/>
  <c r="I404" i="10"/>
  <c r="B404" i="10"/>
  <c r="M403" i="10"/>
  <c r="I403" i="10"/>
  <c r="B403" i="10"/>
  <c r="I402" i="10"/>
  <c r="B402" i="10"/>
  <c r="M401" i="10"/>
  <c r="I401" i="10"/>
  <c r="B401" i="10"/>
  <c r="M400" i="10"/>
  <c r="I400" i="10"/>
  <c r="B400" i="10"/>
  <c r="M399" i="10"/>
  <c r="I399" i="10"/>
  <c r="B399" i="10"/>
  <c r="M398" i="10"/>
  <c r="I398" i="10"/>
  <c r="M397" i="10"/>
  <c r="I397" i="10"/>
  <c r="B397" i="10"/>
  <c r="I396" i="10"/>
  <c r="B396" i="10"/>
  <c r="M395" i="10"/>
  <c r="I395" i="10"/>
  <c r="B395" i="10"/>
  <c r="I394" i="10"/>
  <c r="M393" i="10"/>
  <c r="I393" i="10"/>
  <c r="B393" i="10"/>
  <c r="I392" i="10"/>
  <c r="B392" i="10"/>
  <c r="I391" i="10"/>
  <c r="B391" i="10"/>
  <c r="M390" i="10"/>
  <c r="I390" i="10"/>
  <c r="B390" i="10"/>
  <c r="M389" i="10"/>
  <c r="I389" i="10"/>
  <c r="B389" i="10"/>
  <c r="M388" i="10"/>
  <c r="I388" i="10"/>
  <c r="B388" i="10"/>
  <c r="M387" i="10"/>
  <c r="I387" i="10"/>
  <c r="B387" i="10"/>
  <c r="M386" i="10"/>
  <c r="I386" i="10"/>
  <c r="B386" i="10"/>
  <c r="M385" i="10"/>
  <c r="I385" i="10"/>
  <c r="I384" i="10"/>
  <c r="B384" i="10"/>
  <c r="M383" i="10"/>
  <c r="I383" i="10"/>
  <c r="M382" i="10"/>
  <c r="I382" i="10"/>
  <c r="I381" i="10"/>
  <c r="B381" i="10"/>
  <c r="M380" i="10"/>
  <c r="I380" i="10"/>
  <c r="B380" i="10"/>
  <c r="M379" i="10"/>
  <c r="I379" i="10"/>
  <c r="I378" i="10"/>
  <c r="B378" i="10"/>
  <c r="I377" i="10"/>
  <c r="B377" i="10"/>
  <c r="I376" i="10"/>
  <c r="B376" i="10"/>
  <c r="I375" i="10"/>
  <c r="B375" i="10"/>
  <c r="I374" i="10"/>
  <c r="B374" i="10"/>
  <c r="I373" i="10"/>
  <c r="B373" i="10"/>
  <c r="I372" i="10"/>
  <c r="B372" i="10"/>
  <c r="M371" i="10"/>
  <c r="I371" i="10"/>
  <c r="B371" i="10"/>
  <c r="I370" i="10"/>
  <c r="B370" i="10"/>
  <c r="M369" i="10"/>
  <c r="I369" i="10"/>
  <c r="B369" i="10"/>
  <c r="I368" i="10"/>
  <c r="B368" i="10"/>
  <c r="I367" i="10"/>
  <c r="B367" i="10"/>
  <c r="M366" i="10"/>
  <c r="I366" i="10"/>
  <c r="B366" i="10"/>
  <c r="I365" i="10"/>
  <c r="B365" i="10"/>
  <c r="I364" i="10"/>
  <c r="B364" i="10"/>
  <c r="M363" i="10"/>
  <c r="I363" i="10"/>
  <c r="I362" i="10"/>
  <c r="B362" i="10"/>
  <c r="M361" i="10"/>
  <c r="I361" i="10"/>
  <c r="B361" i="10"/>
  <c r="M360" i="10"/>
  <c r="I360" i="10"/>
  <c r="B360" i="10"/>
  <c r="M359" i="10"/>
  <c r="I359" i="10"/>
  <c r="B359" i="10"/>
  <c r="M358" i="10"/>
  <c r="I358" i="10"/>
  <c r="B358" i="10"/>
  <c r="I357" i="10"/>
  <c r="B357" i="10"/>
  <c r="I356" i="10"/>
  <c r="B356" i="10"/>
  <c r="I355" i="10"/>
  <c r="B355" i="10"/>
  <c r="I354" i="10"/>
  <c r="M353" i="10"/>
  <c r="I353" i="10"/>
  <c r="B353" i="10"/>
  <c r="M352" i="10"/>
  <c r="I352" i="10"/>
  <c r="B352" i="10"/>
  <c r="M351" i="10"/>
  <c r="I351" i="10"/>
  <c r="B351" i="10"/>
  <c r="I350" i="10"/>
  <c r="B350" i="10"/>
  <c r="M349" i="10"/>
  <c r="I349" i="10"/>
  <c r="B349" i="10"/>
  <c r="I348" i="10"/>
  <c r="B348" i="10"/>
  <c r="M347" i="10"/>
  <c r="I347" i="10"/>
  <c r="M346" i="10"/>
  <c r="I346" i="10"/>
  <c r="I345" i="10"/>
  <c r="B345" i="10"/>
  <c r="M344" i="10"/>
  <c r="I344" i="10"/>
  <c r="B344" i="10"/>
  <c r="M343" i="10"/>
  <c r="I343" i="10"/>
  <c r="B343" i="10"/>
  <c r="M342" i="10"/>
  <c r="I342" i="10"/>
  <c r="B342" i="10"/>
  <c r="M341" i="10"/>
  <c r="I341" i="10"/>
  <c r="B341" i="10"/>
  <c r="M340" i="10"/>
  <c r="I340" i="10"/>
  <c r="I339" i="10"/>
  <c r="B339" i="10"/>
  <c r="I338" i="10"/>
  <c r="B338" i="10"/>
  <c r="I337" i="10"/>
  <c r="B337" i="10"/>
  <c r="M336" i="10"/>
  <c r="I336" i="10"/>
  <c r="I335" i="10"/>
  <c r="B335" i="10"/>
  <c r="I334" i="10"/>
  <c r="B334" i="10"/>
  <c r="I333" i="10"/>
  <c r="B333" i="10"/>
  <c r="I332" i="10"/>
  <c r="M331" i="10"/>
  <c r="I331" i="10"/>
  <c r="B331" i="10"/>
  <c r="M330" i="10"/>
  <c r="I330" i="10"/>
  <c r="B330" i="10"/>
  <c r="I329" i="10"/>
  <c r="I328" i="10"/>
  <c r="I327" i="10"/>
  <c r="A327" i="10"/>
  <c r="I326" i="10"/>
  <c r="I325" i="10"/>
  <c r="M324" i="10"/>
  <c r="I324" i="10"/>
  <c r="B324" i="10"/>
  <c r="M323" i="10"/>
  <c r="I323" i="10"/>
  <c r="B323" i="10"/>
  <c r="M322" i="10"/>
  <c r="I322" i="10"/>
  <c r="B322" i="10"/>
  <c r="M321" i="10"/>
  <c r="I321" i="10"/>
  <c r="B321" i="10"/>
  <c r="M320" i="10"/>
  <c r="I320" i="10"/>
  <c r="B320" i="10"/>
  <c r="M319" i="10"/>
  <c r="I319" i="10"/>
  <c r="B319" i="10"/>
  <c r="I318" i="10"/>
  <c r="B318" i="10"/>
  <c r="M317" i="10"/>
  <c r="I317" i="10"/>
  <c r="B317" i="10"/>
  <c r="I316" i="10"/>
  <c r="B316" i="10"/>
  <c r="I315" i="10"/>
  <c r="B315" i="10"/>
  <c r="M314" i="10"/>
  <c r="I314" i="10"/>
  <c r="B314" i="10"/>
  <c r="I313" i="10"/>
  <c r="A313" i="10"/>
  <c r="I312" i="10"/>
  <c r="B312" i="10"/>
  <c r="M311" i="10"/>
  <c r="I311" i="10"/>
  <c r="B311" i="10"/>
  <c r="I310" i="10"/>
  <c r="B310" i="10"/>
  <c r="M309" i="10"/>
  <c r="I309" i="10"/>
  <c r="B309" i="10"/>
  <c r="M308" i="10"/>
  <c r="I308" i="10"/>
  <c r="B308" i="10"/>
  <c r="M307" i="10"/>
  <c r="I307" i="10"/>
  <c r="B307" i="10"/>
  <c r="I306" i="10"/>
  <c r="B306" i="10"/>
  <c r="I305" i="10"/>
  <c r="A305" i="10"/>
  <c r="I304" i="10"/>
  <c r="B304" i="10"/>
  <c r="I303" i="10"/>
  <c r="A303" i="10"/>
  <c r="M302" i="10"/>
  <c r="I302" i="10"/>
  <c r="B302" i="10"/>
  <c r="I301" i="10"/>
  <c r="A301" i="10"/>
  <c r="I300" i="10"/>
  <c r="B300" i="10"/>
  <c r="I299" i="10"/>
  <c r="B299" i="10"/>
  <c r="M298" i="10"/>
  <c r="I298" i="10"/>
  <c r="B298" i="10"/>
  <c r="I297" i="10"/>
  <c r="I296" i="10"/>
  <c r="I295" i="10"/>
  <c r="M294" i="10"/>
  <c r="I294" i="10"/>
  <c r="B294" i="10"/>
  <c r="I293" i="10"/>
  <c r="A293" i="10"/>
  <c r="M292" i="10"/>
  <c r="I292" i="10"/>
  <c r="B292" i="10"/>
  <c r="I291" i="10"/>
  <c r="A291" i="10"/>
  <c r="I290" i="10"/>
  <c r="B290" i="10"/>
  <c r="I289" i="10"/>
  <c r="B289" i="10"/>
  <c r="I288" i="10"/>
  <c r="B288" i="10"/>
  <c r="I287" i="10"/>
  <c r="B287" i="10"/>
  <c r="I286" i="10"/>
  <c r="B286" i="10"/>
  <c r="M285" i="10"/>
  <c r="I285" i="10"/>
  <c r="B285" i="10"/>
  <c r="M284" i="10"/>
  <c r="I284" i="10"/>
  <c r="B284" i="10"/>
  <c r="M283" i="10"/>
  <c r="I283" i="10"/>
  <c r="I282" i="10"/>
  <c r="B282" i="10"/>
  <c r="I281" i="10"/>
  <c r="M280" i="10"/>
  <c r="I280" i="10"/>
  <c r="I279" i="10"/>
  <c r="B279" i="10"/>
  <c r="I278" i="10"/>
  <c r="B278" i="10"/>
  <c r="I277" i="10"/>
  <c r="B277" i="10"/>
  <c r="M276" i="10"/>
  <c r="I276" i="10"/>
  <c r="B276" i="10"/>
  <c r="I275" i="10"/>
  <c r="B275" i="10"/>
  <c r="I274" i="10"/>
  <c r="B274" i="10"/>
  <c r="I273" i="10"/>
  <c r="B273" i="10"/>
  <c r="I272" i="10"/>
  <c r="B272" i="10"/>
  <c r="I271" i="10"/>
  <c r="B271" i="10"/>
  <c r="M270" i="10"/>
  <c r="I270" i="10"/>
  <c r="B270" i="10"/>
  <c r="I269" i="10"/>
  <c r="I268" i="10"/>
  <c r="B268" i="10"/>
  <c r="I267" i="10"/>
  <c r="M266" i="10"/>
  <c r="I266" i="10"/>
  <c r="B266" i="10"/>
  <c r="I265" i="10"/>
  <c r="B265" i="10"/>
  <c r="I264" i="10"/>
  <c r="B264" i="10"/>
  <c r="I263" i="10"/>
  <c r="B263" i="10"/>
  <c r="I262" i="10"/>
  <c r="B262" i="10"/>
  <c r="I261" i="10"/>
  <c r="B261" i="10"/>
  <c r="I260" i="10"/>
  <c r="B260" i="10"/>
  <c r="M259" i="10"/>
  <c r="I259" i="10"/>
  <c r="B259" i="10"/>
  <c r="I258" i="10"/>
  <c r="B258" i="10"/>
  <c r="I257" i="10"/>
  <c r="B257" i="10"/>
  <c r="M256" i="10"/>
  <c r="I256" i="10"/>
  <c r="B256" i="10"/>
  <c r="I255" i="10"/>
  <c r="B255" i="10"/>
  <c r="I254" i="10"/>
  <c r="B254" i="10"/>
  <c r="M253" i="10"/>
  <c r="I253" i="10"/>
  <c r="B253" i="10"/>
  <c r="M252" i="10"/>
  <c r="I252" i="10"/>
  <c r="B252" i="10"/>
  <c r="M251" i="10"/>
  <c r="I251" i="10"/>
  <c r="B251" i="10"/>
  <c r="M250" i="10"/>
  <c r="I250" i="10"/>
  <c r="B250" i="10"/>
  <c r="M249" i="10"/>
  <c r="I249" i="10"/>
  <c r="B249" i="10"/>
  <c r="I248" i="10"/>
  <c r="B248" i="10"/>
  <c r="I247" i="10"/>
  <c r="B247" i="10"/>
  <c r="I246" i="10"/>
  <c r="B246" i="10"/>
  <c r="I245" i="10"/>
  <c r="B245" i="10"/>
  <c r="M244" i="10"/>
  <c r="I244" i="10"/>
  <c r="B244" i="10"/>
  <c r="I243" i="10"/>
  <c r="B243" i="10"/>
  <c r="I242" i="10"/>
  <c r="B242" i="10"/>
  <c r="I241" i="10"/>
  <c r="B241" i="10"/>
  <c r="I240" i="10"/>
  <c r="B240" i="10"/>
  <c r="I239" i="10"/>
  <c r="B239" i="10"/>
  <c r="I238" i="10"/>
  <c r="B238" i="10"/>
  <c r="I237" i="10"/>
  <c r="B237" i="10"/>
  <c r="I236" i="10"/>
  <c r="B236" i="10"/>
  <c r="M235" i="10"/>
  <c r="I235" i="10"/>
  <c r="B235" i="10"/>
  <c r="I234" i="10"/>
  <c r="B234" i="10"/>
  <c r="M233" i="10"/>
  <c r="I233" i="10"/>
  <c r="M232" i="10"/>
  <c r="I232" i="10"/>
  <c r="B232" i="10"/>
  <c r="M231" i="10"/>
  <c r="I231" i="10"/>
  <c r="B231" i="10"/>
  <c r="I230" i="10"/>
  <c r="B230" i="10"/>
  <c r="I229" i="10"/>
  <c r="B229" i="10"/>
  <c r="M228" i="10"/>
  <c r="I228" i="10"/>
  <c r="B228" i="10"/>
  <c r="M227" i="10"/>
  <c r="I227" i="10"/>
  <c r="B227" i="10"/>
  <c r="M226" i="10"/>
  <c r="I226" i="10"/>
  <c r="B226" i="10"/>
  <c r="I225" i="10"/>
  <c r="B225" i="10"/>
  <c r="I224" i="10"/>
  <c r="B224" i="10"/>
  <c r="I223" i="10"/>
  <c r="B223" i="10"/>
  <c r="I222" i="10"/>
  <c r="B222" i="10"/>
  <c r="I221" i="10"/>
  <c r="B221" i="10"/>
  <c r="I220" i="10"/>
  <c r="B220" i="10"/>
  <c r="M219" i="10"/>
  <c r="I219" i="10"/>
  <c r="B219" i="10"/>
  <c r="I218" i="10"/>
  <c r="B218" i="10"/>
  <c r="M217" i="10"/>
  <c r="I217" i="10"/>
  <c r="I216" i="10"/>
  <c r="M215" i="10"/>
  <c r="I215" i="10"/>
  <c r="B215" i="10"/>
  <c r="M214" i="10"/>
  <c r="I214" i="10"/>
  <c r="M213" i="10"/>
  <c r="I213" i="10"/>
  <c r="B213" i="10"/>
  <c r="M212" i="10"/>
  <c r="I212" i="10"/>
  <c r="B212" i="10"/>
  <c r="I211" i="10"/>
  <c r="B211" i="10"/>
  <c r="I210" i="10"/>
  <c r="B210" i="10"/>
  <c r="M209" i="10"/>
  <c r="I209" i="10"/>
  <c r="B209" i="10"/>
  <c r="M208" i="10"/>
  <c r="I208" i="10"/>
  <c r="B208" i="10"/>
  <c r="M207" i="10"/>
  <c r="I207" i="10"/>
  <c r="B207" i="10"/>
  <c r="M206" i="10"/>
  <c r="I206" i="10"/>
  <c r="B206" i="10"/>
  <c r="I205" i="10"/>
  <c r="B205" i="10"/>
  <c r="I204" i="10"/>
  <c r="B204" i="10"/>
  <c r="I203" i="10"/>
  <c r="B203" i="10"/>
  <c r="M202" i="10"/>
  <c r="I202" i="10"/>
  <c r="B202" i="10"/>
  <c r="M201" i="10"/>
  <c r="I201" i="10"/>
  <c r="B201" i="10"/>
  <c r="M200" i="10"/>
  <c r="I200" i="10"/>
  <c r="B200" i="10"/>
  <c r="M199" i="10"/>
  <c r="I199" i="10"/>
  <c r="B199" i="10"/>
  <c r="I198" i="10"/>
  <c r="I197" i="10"/>
  <c r="B197" i="10"/>
  <c r="I196" i="10"/>
  <c r="M195" i="10"/>
  <c r="I195" i="10"/>
  <c r="B195" i="10"/>
  <c r="I194" i="10"/>
  <c r="B194" i="10"/>
  <c r="I193" i="10"/>
  <c r="B193" i="10"/>
  <c r="I192" i="10"/>
  <c r="B192" i="10"/>
  <c r="M191" i="10"/>
  <c r="I191" i="10"/>
  <c r="I190" i="10"/>
  <c r="M189" i="10"/>
  <c r="I189" i="10"/>
  <c r="B189" i="10"/>
  <c r="I188" i="10"/>
  <c r="B188" i="10"/>
  <c r="I187" i="10"/>
  <c r="B187" i="10"/>
  <c r="I186" i="10"/>
  <c r="B186" i="10"/>
  <c r="I185" i="10"/>
  <c r="B185" i="10"/>
  <c r="I184" i="10"/>
  <c r="B184" i="10"/>
  <c r="I183" i="10"/>
  <c r="B183" i="10"/>
  <c r="I182" i="10"/>
  <c r="B182" i="10"/>
  <c r="I181" i="10"/>
  <c r="B181" i="10"/>
  <c r="I180" i="10"/>
  <c r="B180" i="10"/>
  <c r="M179" i="10"/>
  <c r="I179" i="10"/>
  <c r="B179" i="10"/>
  <c r="I178" i="10"/>
  <c r="B178" i="10"/>
  <c r="M177" i="10"/>
  <c r="I177" i="10"/>
  <c r="B177" i="10"/>
  <c r="I176" i="10"/>
  <c r="B176" i="10"/>
  <c r="M175" i="10"/>
  <c r="I175" i="10"/>
  <c r="B175" i="10"/>
  <c r="I174" i="10"/>
  <c r="B174" i="10"/>
  <c r="I173" i="10"/>
  <c r="B173" i="10"/>
  <c r="M172" i="10"/>
  <c r="I172" i="10"/>
  <c r="B172" i="10"/>
  <c r="M171" i="10"/>
  <c r="I171" i="10"/>
  <c r="B171" i="10"/>
  <c r="M170" i="10"/>
  <c r="I170" i="10"/>
  <c r="B170" i="10"/>
  <c r="I169" i="10"/>
  <c r="B169" i="10"/>
  <c r="M168" i="10"/>
  <c r="I168" i="10"/>
  <c r="B168" i="10"/>
  <c r="M167" i="10"/>
  <c r="I167" i="10"/>
  <c r="B167" i="10"/>
  <c r="M166" i="10"/>
  <c r="I166" i="10"/>
  <c r="B166" i="10"/>
  <c r="I165" i="10"/>
  <c r="B165" i="10"/>
  <c r="M164" i="10"/>
  <c r="I164" i="10"/>
  <c r="B164" i="10"/>
  <c r="I163" i="10"/>
  <c r="B163" i="10"/>
  <c r="M162" i="10"/>
  <c r="I162" i="10"/>
  <c r="B162" i="10"/>
  <c r="I161" i="10"/>
  <c r="B161" i="10"/>
  <c r="I160" i="10"/>
  <c r="B160" i="10"/>
  <c r="I159" i="10"/>
  <c r="I158" i="10"/>
  <c r="B158" i="10"/>
  <c r="M157" i="10"/>
  <c r="I157" i="10"/>
  <c r="I156" i="10"/>
  <c r="B156" i="10"/>
  <c r="I155" i="10"/>
  <c r="I154" i="10"/>
  <c r="B154" i="10"/>
  <c r="I153" i="10"/>
  <c r="B153" i="10"/>
  <c r="M152" i="10"/>
  <c r="I152" i="10"/>
  <c r="B152" i="10"/>
  <c r="I151" i="10"/>
  <c r="B151" i="10"/>
  <c r="M150" i="10"/>
  <c r="I150" i="10"/>
  <c r="B150" i="10"/>
  <c r="I149" i="10"/>
  <c r="M148" i="10"/>
  <c r="I148" i="10"/>
  <c r="B148" i="10"/>
  <c r="M147" i="10"/>
  <c r="I147" i="10"/>
  <c r="B147" i="10"/>
  <c r="I146" i="10"/>
  <c r="B146" i="10"/>
  <c r="I145" i="10"/>
  <c r="B145" i="10"/>
  <c r="M144" i="10"/>
  <c r="I144" i="10"/>
  <c r="B144" i="10"/>
  <c r="I143" i="10"/>
  <c r="B143" i="10"/>
  <c r="I142" i="10"/>
  <c r="I141" i="10"/>
  <c r="M140" i="10"/>
  <c r="I140" i="10"/>
  <c r="M139" i="10"/>
  <c r="I139" i="10"/>
  <c r="B139" i="10"/>
  <c r="M138" i="10"/>
  <c r="I138" i="10"/>
  <c r="B138" i="10"/>
  <c r="I137" i="10"/>
  <c r="B137" i="10"/>
  <c r="I136" i="10"/>
  <c r="B136" i="10"/>
  <c r="I135" i="10"/>
  <c r="B135" i="10"/>
  <c r="I134" i="10"/>
  <c r="B134" i="10"/>
  <c r="M133" i="10"/>
  <c r="I133" i="10"/>
  <c r="B133" i="10"/>
  <c r="M132" i="10"/>
  <c r="I132" i="10"/>
  <c r="B132" i="10"/>
  <c r="I131" i="10"/>
  <c r="B131" i="10"/>
  <c r="I130" i="10"/>
  <c r="B130" i="10"/>
  <c r="I129" i="10"/>
  <c r="B129" i="10"/>
  <c r="M128" i="10"/>
  <c r="I128" i="10"/>
  <c r="B128" i="10"/>
  <c r="M127" i="10"/>
  <c r="I127" i="10"/>
  <c r="B127" i="10"/>
  <c r="M126" i="10"/>
  <c r="I126" i="10"/>
  <c r="B126" i="10"/>
  <c r="I125" i="10"/>
  <c r="B125" i="10"/>
  <c r="M124" i="10"/>
  <c r="I124" i="10"/>
  <c r="B124" i="10"/>
  <c r="M123" i="10"/>
  <c r="I123" i="10"/>
  <c r="B123" i="10"/>
  <c r="M122" i="10"/>
  <c r="I122" i="10"/>
  <c r="B122" i="10"/>
  <c r="M121" i="10"/>
  <c r="I121" i="10"/>
  <c r="B121" i="10"/>
  <c r="I120" i="10"/>
  <c r="B120" i="10"/>
  <c r="M119" i="10"/>
  <c r="I119" i="10"/>
  <c r="B119" i="10"/>
  <c r="M118" i="10"/>
  <c r="I118" i="10"/>
  <c r="B118" i="10"/>
  <c r="I117" i="10"/>
  <c r="B117" i="10"/>
  <c r="M116" i="10"/>
  <c r="I116" i="10"/>
  <c r="B116" i="10"/>
  <c r="M115" i="10"/>
  <c r="I115" i="10"/>
  <c r="B115" i="10"/>
  <c r="I114" i="10"/>
  <c r="B114" i="10"/>
  <c r="M113" i="10"/>
  <c r="I113" i="10"/>
  <c r="B113" i="10"/>
  <c r="M112" i="10"/>
  <c r="I112" i="10"/>
  <c r="B112" i="10"/>
  <c r="M111" i="10"/>
  <c r="I111" i="10"/>
  <c r="B111" i="10"/>
  <c r="M110" i="10"/>
  <c r="I110" i="10"/>
  <c r="B110" i="10"/>
  <c r="M109" i="10"/>
  <c r="I109" i="10"/>
  <c r="B109" i="10"/>
  <c r="I108" i="10"/>
  <c r="B108" i="10"/>
  <c r="I107" i="10"/>
  <c r="B107" i="10"/>
  <c r="M106" i="10"/>
  <c r="I106" i="10"/>
  <c r="B106" i="10"/>
  <c r="M105" i="10"/>
  <c r="I105" i="10"/>
  <c r="B105" i="10"/>
  <c r="M104" i="10"/>
  <c r="I104" i="10"/>
  <c r="B104" i="10"/>
  <c r="M103" i="10"/>
  <c r="I103" i="10"/>
  <c r="B103" i="10"/>
  <c r="M102" i="10"/>
  <c r="I102" i="10"/>
  <c r="B102" i="10"/>
  <c r="M101" i="10"/>
  <c r="I101" i="10"/>
  <c r="B101" i="10"/>
  <c r="I100" i="10"/>
  <c r="B100" i="10"/>
  <c r="I99" i="10"/>
  <c r="B99" i="10"/>
  <c r="I98" i="10"/>
  <c r="B98" i="10"/>
  <c r="M97" i="10"/>
  <c r="I97" i="10"/>
  <c r="B97" i="10"/>
  <c r="M96" i="10"/>
  <c r="I96" i="10"/>
  <c r="B96" i="10"/>
  <c r="M95" i="10"/>
  <c r="I95" i="10"/>
  <c r="B95" i="10"/>
  <c r="I94" i="10"/>
  <c r="B94" i="10"/>
  <c r="M93" i="10"/>
  <c r="I93" i="10"/>
  <c r="B93" i="10"/>
  <c r="M92" i="10"/>
  <c r="I92" i="10"/>
  <c r="B92" i="10"/>
  <c r="M91" i="10"/>
  <c r="I91" i="10"/>
  <c r="B91" i="10"/>
  <c r="M90" i="10"/>
  <c r="I90" i="10"/>
  <c r="B90" i="10"/>
  <c r="I89" i="10"/>
  <c r="B89" i="10"/>
  <c r="M88" i="10"/>
  <c r="I88" i="10"/>
  <c r="B88" i="10"/>
  <c r="M87" i="10"/>
  <c r="I87" i="10"/>
  <c r="B87" i="10"/>
  <c r="M86" i="10"/>
  <c r="I86" i="10"/>
  <c r="B86" i="10"/>
  <c r="M85" i="10"/>
  <c r="I85" i="10"/>
  <c r="B85" i="10"/>
  <c r="M84" i="10"/>
  <c r="I84" i="10"/>
  <c r="B84" i="10"/>
  <c r="M83" i="10"/>
  <c r="I83" i="10"/>
  <c r="B83" i="10"/>
  <c r="M82" i="10"/>
  <c r="I82" i="10"/>
  <c r="B82" i="10"/>
  <c r="M81" i="10"/>
  <c r="I81" i="10"/>
  <c r="B81" i="10"/>
  <c r="M80" i="10"/>
  <c r="I80" i="10"/>
  <c r="B80" i="10"/>
  <c r="M79" i="10"/>
  <c r="I79" i="10"/>
  <c r="B79" i="10"/>
  <c r="M78" i="10"/>
  <c r="I78" i="10"/>
  <c r="B78" i="10"/>
  <c r="M77" i="10"/>
  <c r="I77" i="10"/>
  <c r="B77" i="10"/>
  <c r="M76" i="10"/>
  <c r="I76" i="10"/>
  <c r="B76" i="10"/>
  <c r="M75" i="10"/>
  <c r="I75" i="10"/>
  <c r="B75" i="10"/>
  <c r="M74" i="10"/>
  <c r="I74" i="10"/>
  <c r="B74" i="10"/>
  <c r="M73" i="10"/>
  <c r="I73" i="10"/>
  <c r="B73" i="10"/>
  <c r="M72" i="10"/>
  <c r="I72" i="10"/>
  <c r="B72" i="10"/>
  <c r="M71" i="10"/>
  <c r="I71" i="10"/>
  <c r="B71" i="10"/>
  <c r="M70" i="10"/>
  <c r="I70" i="10"/>
  <c r="B70" i="10"/>
  <c r="M69" i="10"/>
  <c r="I69" i="10"/>
  <c r="B69" i="10"/>
  <c r="M68" i="10"/>
  <c r="I68" i="10"/>
  <c r="B68" i="10"/>
  <c r="M67" i="10"/>
  <c r="I67" i="10"/>
  <c r="B67" i="10"/>
  <c r="M66" i="10"/>
  <c r="I66" i="10"/>
  <c r="B66" i="10"/>
  <c r="M65" i="10"/>
  <c r="I65" i="10"/>
  <c r="B65" i="10"/>
  <c r="M64" i="10"/>
  <c r="I64" i="10"/>
  <c r="B64" i="10"/>
  <c r="M63" i="10"/>
  <c r="I63" i="10"/>
  <c r="B63" i="10"/>
  <c r="M62" i="10"/>
  <c r="I62" i="10"/>
  <c r="B62" i="10"/>
  <c r="M61" i="10"/>
  <c r="I61" i="10"/>
  <c r="B61" i="10"/>
  <c r="M60" i="10"/>
  <c r="I60" i="10"/>
  <c r="B60" i="10"/>
  <c r="M59" i="10"/>
  <c r="I59" i="10"/>
  <c r="B59" i="10"/>
  <c r="M58" i="10"/>
  <c r="I58" i="10"/>
  <c r="B58" i="10"/>
  <c r="M57" i="10"/>
  <c r="I57" i="10"/>
  <c r="B57" i="10"/>
  <c r="M56" i="10"/>
  <c r="I56" i="10"/>
  <c r="B56" i="10"/>
  <c r="M55" i="10"/>
  <c r="I55" i="10"/>
  <c r="B55" i="10"/>
  <c r="M54" i="10"/>
  <c r="I54" i="10"/>
  <c r="B54" i="10"/>
  <c r="M53" i="10"/>
  <c r="I53" i="10"/>
  <c r="B53" i="10"/>
  <c r="M52" i="10"/>
  <c r="I52" i="10"/>
  <c r="B52" i="10"/>
  <c r="M51" i="10"/>
  <c r="I51" i="10"/>
  <c r="B51" i="10"/>
  <c r="M50" i="10"/>
  <c r="I50" i="10"/>
  <c r="B50" i="10"/>
  <c r="M49" i="10"/>
  <c r="I49" i="10"/>
  <c r="B49" i="10"/>
  <c r="M48" i="10"/>
  <c r="I48" i="10"/>
  <c r="B48" i="10"/>
  <c r="M47" i="10"/>
  <c r="I47" i="10"/>
  <c r="B47" i="10"/>
  <c r="M46" i="10"/>
  <c r="I46" i="10"/>
  <c r="B46" i="10"/>
  <c r="M45" i="10"/>
  <c r="I45" i="10"/>
  <c r="B45" i="10"/>
  <c r="M44" i="10"/>
  <c r="I44" i="10"/>
  <c r="B44" i="10"/>
  <c r="M43" i="10"/>
  <c r="I43" i="10"/>
  <c r="B43" i="10"/>
  <c r="M42" i="10"/>
  <c r="I42" i="10"/>
  <c r="B42" i="10"/>
  <c r="M41" i="10"/>
  <c r="I41" i="10"/>
  <c r="B41" i="10"/>
  <c r="M40" i="10"/>
  <c r="I40" i="10"/>
  <c r="B40" i="10"/>
  <c r="M39" i="10"/>
  <c r="I39" i="10"/>
  <c r="B39" i="10"/>
  <c r="M38" i="10"/>
  <c r="I38" i="10"/>
  <c r="B38" i="10"/>
  <c r="M37" i="10"/>
  <c r="I37" i="10"/>
  <c r="B37" i="10"/>
  <c r="M36" i="10"/>
  <c r="I36" i="10"/>
  <c r="B36" i="10"/>
  <c r="M35" i="10"/>
  <c r="I35" i="10"/>
  <c r="B35" i="10"/>
  <c r="M34" i="10"/>
  <c r="I34" i="10"/>
  <c r="B34" i="10"/>
  <c r="M33" i="10"/>
  <c r="I33" i="10"/>
  <c r="B33" i="10"/>
  <c r="M32" i="10"/>
  <c r="I32" i="10"/>
  <c r="B32" i="10"/>
  <c r="M31" i="10"/>
  <c r="I31" i="10"/>
  <c r="B31" i="10"/>
  <c r="M30" i="10"/>
  <c r="I30" i="10"/>
  <c r="B30" i="10"/>
  <c r="M29" i="10"/>
  <c r="I29" i="10"/>
  <c r="B29" i="10"/>
  <c r="M28" i="10"/>
  <c r="I28" i="10"/>
  <c r="B28" i="10"/>
  <c r="M27" i="10"/>
  <c r="I27" i="10"/>
  <c r="B27" i="10"/>
  <c r="M26" i="10"/>
  <c r="I26" i="10"/>
  <c r="B26" i="10"/>
  <c r="M25" i="10"/>
  <c r="I25" i="10"/>
  <c r="B25" i="10"/>
  <c r="M24" i="10"/>
  <c r="I24" i="10"/>
  <c r="B24" i="10"/>
  <c r="M23" i="10"/>
  <c r="I23" i="10"/>
  <c r="B23" i="10"/>
  <c r="M22" i="10"/>
  <c r="I22" i="10"/>
  <c r="B22" i="10"/>
  <c r="M21" i="10"/>
  <c r="I21" i="10"/>
  <c r="B21" i="10"/>
  <c r="M20" i="10"/>
  <c r="I20" i="10"/>
  <c r="B20" i="10"/>
  <c r="M19" i="10"/>
  <c r="I19" i="10"/>
  <c r="B19" i="10"/>
  <c r="M18" i="10"/>
  <c r="I18" i="10"/>
  <c r="B18" i="10"/>
  <c r="M17" i="10"/>
  <c r="I17" i="10"/>
  <c r="B17" i="10"/>
  <c r="M16" i="10"/>
  <c r="I16" i="10"/>
  <c r="B16" i="10"/>
  <c r="M15" i="10"/>
  <c r="I15" i="10"/>
  <c r="B15" i="10"/>
  <c r="M14" i="10"/>
  <c r="I14" i="10"/>
  <c r="B14" i="10"/>
  <c r="M13" i="10"/>
  <c r="I13" i="10"/>
  <c r="B13" i="10"/>
  <c r="M12" i="10"/>
  <c r="I12" i="10"/>
  <c r="B12" i="10"/>
  <c r="M11" i="10"/>
  <c r="I11" i="10"/>
  <c r="B11" i="10"/>
  <c r="M10" i="10"/>
  <c r="I10" i="10"/>
  <c r="B10" i="10"/>
  <c r="M9" i="10"/>
  <c r="I9" i="10"/>
  <c r="B9" i="10"/>
  <c r="M8" i="10"/>
  <c r="I8" i="10"/>
  <c r="B8" i="10"/>
  <c r="M7" i="10"/>
  <c r="I7" i="10"/>
  <c r="B7" i="10"/>
  <c r="M2" i="10"/>
  <c r="L2" i="10"/>
  <c r="K2" i="10"/>
  <c r="C2" i="10"/>
  <c r="E2" i="10" s="1"/>
  <c r="I168" i="9"/>
  <c r="B168" i="9"/>
  <c r="I167" i="9"/>
  <c r="B167" i="9"/>
  <c r="I166" i="9"/>
  <c r="B166" i="9"/>
  <c r="I165" i="9"/>
  <c r="B165" i="9"/>
  <c r="I164" i="9"/>
  <c r="B164" i="9"/>
  <c r="I163" i="9"/>
  <c r="B163" i="9"/>
  <c r="I162" i="9"/>
  <c r="B162" i="9"/>
  <c r="M161" i="9"/>
  <c r="I161" i="9"/>
  <c r="B161" i="9"/>
  <c r="M160" i="9"/>
  <c r="I160" i="9"/>
  <c r="B160" i="9"/>
  <c r="I159" i="9"/>
  <c r="B159" i="9"/>
  <c r="I158" i="9"/>
  <c r="I157" i="9"/>
  <c r="B157" i="9"/>
  <c r="I156" i="9"/>
  <c r="B156" i="9"/>
  <c r="I155" i="9"/>
  <c r="B155" i="9"/>
  <c r="I154" i="9"/>
  <c r="B154" i="9"/>
  <c r="I153" i="9"/>
  <c r="I152" i="9"/>
  <c r="I151" i="9"/>
  <c r="B151" i="9"/>
  <c r="M150" i="9"/>
  <c r="I150" i="9"/>
  <c r="B150" i="9"/>
  <c r="M149" i="9"/>
  <c r="I149" i="9"/>
  <c r="B149" i="9"/>
  <c r="M148" i="9"/>
  <c r="I148" i="9"/>
  <c r="B148" i="9"/>
  <c r="M147" i="9"/>
  <c r="I147" i="9"/>
  <c r="B147" i="9"/>
  <c r="M146" i="9"/>
  <c r="I146" i="9"/>
  <c r="B146" i="9"/>
  <c r="M145" i="9"/>
  <c r="I145" i="9"/>
  <c r="A145" i="9"/>
  <c r="M144" i="9"/>
  <c r="I144" i="9"/>
  <c r="B144" i="9"/>
  <c r="I143" i="9"/>
  <c r="A143" i="9"/>
  <c r="M142" i="9"/>
  <c r="I142" i="9"/>
  <c r="B142" i="9"/>
  <c r="M141" i="9"/>
  <c r="I141" i="9"/>
  <c r="B141" i="9"/>
  <c r="M140" i="9"/>
  <c r="I140" i="9"/>
  <c r="B140" i="9"/>
  <c r="I139" i="9"/>
  <c r="I138" i="9"/>
  <c r="B138" i="9"/>
  <c r="I137" i="9"/>
  <c r="B137" i="9"/>
  <c r="I136" i="9"/>
  <c r="B136" i="9"/>
  <c r="I135" i="9"/>
  <c r="B135" i="9"/>
  <c r="M134" i="9"/>
  <c r="I134" i="9"/>
  <c r="I133" i="9"/>
  <c r="B133" i="9"/>
  <c r="I132" i="9"/>
  <c r="B132" i="9"/>
  <c r="I131" i="9"/>
  <c r="B131" i="9"/>
  <c r="M130" i="9"/>
  <c r="I130" i="9"/>
  <c r="B130" i="9"/>
  <c r="I129" i="9"/>
  <c r="B129" i="9"/>
  <c r="M128" i="9"/>
  <c r="I128" i="9"/>
  <c r="B128" i="9"/>
  <c r="M127" i="9"/>
  <c r="I127" i="9"/>
  <c r="B127" i="9"/>
  <c r="I126" i="9"/>
  <c r="I125" i="9"/>
  <c r="B125" i="9"/>
  <c r="M124" i="9"/>
  <c r="I124" i="9"/>
  <c r="M123" i="9"/>
  <c r="I123" i="9"/>
  <c r="I122" i="9"/>
  <c r="B122" i="9"/>
  <c r="M121" i="9"/>
  <c r="I121" i="9"/>
  <c r="I120" i="9"/>
  <c r="M119" i="9"/>
  <c r="I119" i="9"/>
  <c r="B119" i="9"/>
  <c r="I118" i="9"/>
  <c r="M117" i="9"/>
  <c r="I117" i="9"/>
  <c r="B117" i="9"/>
  <c r="I116" i="9"/>
  <c r="A116" i="9"/>
  <c r="M115" i="9"/>
  <c r="I115" i="9"/>
  <c r="B115" i="9"/>
  <c r="I114" i="9"/>
  <c r="B114" i="9"/>
  <c r="I113" i="9"/>
  <c r="B113" i="9"/>
  <c r="I112" i="9"/>
  <c r="B112" i="9"/>
  <c r="I111" i="9"/>
  <c r="A111" i="9"/>
  <c r="M110" i="9"/>
  <c r="I110" i="9"/>
  <c r="M109" i="9"/>
  <c r="I109" i="9"/>
  <c r="B109" i="9"/>
  <c r="M108" i="9"/>
  <c r="I108" i="9"/>
  <c r="B108" i="9"/>
  <c r="M107" i="9"/>
  <c r="I107" i="9"/>
  <c r="B107" i="9"/>
  <c r="M106" i="9"/>
  <c r="I106" i="9"/>
  <c r="B106" i="9"/>
  <c r="M105" i="9"/>
  <c r="I105" i="9"/>
  <c r="B105" i="9"/>
  <c r="M104" i="9"/>
  <c r="I104" i="9"/>
  <c r="B104" i="9"/>
  <c r="I103" i="9"/>
  <c r="B103" i="9"/>
  <c r="M102" i="9"/>
  <c r="I102" i="9"/>
  <c r="B102" i="9"/>
  <c r="I101" i="9"/>
  <c r="I100" i="9"/>
  <c r="B100" i="9"/>
  <c r="I99" i="9"/>
  <c r="B99" i="9"/>
  <c r="I98" i="9"/>
  <c r="B98" i="9"/>
  <c r="I97" i="9"/>
  <c r="B97" i="9"/>
  <c r="I96" i="9"/>
  <c r="B96" i="9"/>
  <c r="I95" i="9"/>
  <c r="B95" i="9"/>
  <c r="I94" i="9"/>
  <c r="B94" i="9"/>
  <c r="I93" i="9"/>
  <c r="B93" i="9"/>
  <c r="I92" i="9"/>
  <c r="B92" i="9"/>
  <c r="I91" i="9"/>
  <c r="M90" i="9"/>
  <c r="I90" i="9"/>
  <c r="I89" i="9"/>
  <c r="B89" i="9"/>
  <c r="M88" i="9"/>
  <c r="I88" i="9"/>
  <c r="I87" i="9"/>
  <c r="B87" i="9"/>
  <c r="M86" i="9"/>
  <c r="I86" i="9"/>
  <c r="I85" i="9"/>
  <c r="I84" i="9"/>
  <c r="I83" i="9"/>
  <c r="B83" i="9"/>
  <c r="I82" i="9"/>
  <c r="B82" i="9"/>
  <c r="I81" i="9"/>
  <c r="B81" i="9"/>
  <c r="M80" i="9"/>
  <c r="I80" i="9"/>
  <c r="B80" i="9"/>
  <c r="M79" i="9"/>
  <c r="I79" i="9"/>
  <c r="B79" i="9"/>
  <c r="M78" i="9"/>
  <c r="I78" i="9"/>
  <c r="B78" i="9"/>
  <c r="I77" i="9"/>
  <c r="B77" i="9"/>
  <c r="M76" i="9"/>
  <c r="I76" i="9"/>
  <c r="B76" i="9"/>
  <c r="M75" i="9"/>
  <c r="I75" i="9"/>
  <c r="B75" i="9"/>
  <c r="I74" i="9"/>
  <c r="I73" i="9"/>
  <c r="M72" i="9"/>
  <c r="I72" i="9"/>
  <c r="B72" i="9"/>
  <c r="I71" i="9"/>
  <c r="B71" i="9"/>
  <c r="M70" i="9"/>
  <c r="I70" i="9"/>
  <c r="M69" i="9"/>
  <c r="I69" i="9"/>
  <c r="B69" i="9"/>
  <c r="I68" i="9"/>
  <c r="I67" i="9"/>
  <c r="B67" i="9"/>
  <c r="I66" i="9"/>
  <c r="B66" i="9"/>
  <c r="I65" i="9"/>
  <c r="B65" i="9"/>
  <c r="I64" i="9"/>
  <c r="B64" i="9"/>
  <c r="M63" i="9"/>
  <c r="I63" i="9"/>
  <c r="I62" i="9"/>
  <c r="B62" i="9"/>
  <c r="I61" i="9"/>
  <c r="B61" i="9"/>
  <c r="I60" i="9"/>
  <c r="B60" i="9"/>
  <c r="I59" i="9"/>
  <c r="B59" i="9"/>
  <c r="I58" i="9"/>
  <c r="B58" i="9"/>
  <c r="I57" i="9"/>
  <c r="B57" i="9"/>
  <c r="I56" i="9"/>
  <c r="M55" i="9"/>
  <c r="I55" i="9"/>
  <c r="M54" i="9"/>
  <c r="I54" i="9"/>
  <c r="M53" i="9"/>
  <c r="I53" i="9"/>
  <c r="B53" i="9"/>
  <c r="I52" i="9"/>
  <c r="B52" i="9"/>
  <c r="M51" i="9"/>
  <c r="I51" i="9"/>
  <c r="I50" i="9"/>
  <c r="I49" i="9"/>
  <c r="M48" i="9"/>
  <c r="I48" i="9"/>
  <c r="M47" i="9"/>
  <c r="I47" i="9"/>
  <c r="I46" i="9"/>
  <c r="M45" i="9"/>
  <c r="I45" i="9"/>
  <c r="B45" i="9"/>
  <c r="I44" i="9"/>
  <c r="M43" i="9"/>
  <c r="I43" i="9"/>
  <c r="B43" i="9"/>
  <c r="I42" i="9"/>
  <c r="B42" i="9"/>
  <c r="M41" i="9"/>
  <c r="I41" i="9"/>
  <c r="B41" i="9"/>
  <c r="M40" i="9"/>
  <c r="I40" i="9"/>
  <c r="B40" i="9"/>
  <c r="M39" i="9"/>
  <c r="I39" i="9"/>
  <c r="B39" i="9"/>
  <c r="M38" i="9"/>
  <c r="I38" i="9"/>
  <c r="B38" i="9"/>
  <c r="I37" i="9"/>
  <c r="B37" i="9"/>
  <c r="I36" i="9"/>
  <c r="B36" i="9"/>
  <c r="I35" i="9"/>
  <c r="I34" i="9"/>
  <c r="B34" i="9"/>
  <c r="I33" i="9"/>
  <c r="B33" i="9"/>
  <c r="I32" i="9"/>
  <c r="B32" i="9"/>
  <c r="I31" i="9"/>
  <c r="B31" i="9"/>
  <c r="I30" i="9"/>
  <c r="B30" i="9"/>
  <c r="M29" i="9"/>
  <c r="I29" i="9"/>
  <c r="B29" i="9"/>
  <c r="I28" i="9"/>
  <c r="B28" i="9"/>
  <c r="I27" i="9"/>
  <c r="B27" i="9"/>
  <c r="I26" i="9"/>
  <c r="B26" i="9"/>
  <c r="I25" i="9"/>
  <c r="B25" i="9"/>
  <c r="I24" i="9"/>
  <c r="B24" i="9"/>
  <c r="I23" i="9"/>
  <c r="M22" i="9"/>
  <c r="I22" i="9"/>
  <c r="M21" i="9"/>
  <c r="I21" i="9"/>
  <c r="B21" i="9"/>
  <c r="M20" i="9"/>
  <c r="I20" i="9"/>
  <c r="B20" i="9"/>
  <c r="M19" i="9"/>
  <c r="I19" i="9"/>
  <c r="B19" i="9"/>
  <c r="I18" i="9"/>
  <c r="B18" i="9"/>
  <c r="I17" i="9"/>
  <c r="B17" i="9"/>
  <c r="I16" i="9"/>
  <c r="B16" i="9"/>
  <c r="M15" i="9"/>
  <c r="I15" i="9"/>
  <c r="B15" i="9"/>
  <c r="I14" i="9"/>
  <c r="B14" i="9"/>
  <c r="M13" i="9"/>
  <c r="I13" i="9"/>
  <c r="B13" i="9"/>
  <c r="M12" i="9"/>
  <c r="I12" i="9"/>
  <c r="B12" i="9"/>
  <c r="I11" i="9"/>
  <c r="M10" i="9"/>
  <c r="I10" i="9"/>
  <c r="B10" i="9"/>
  <c r="I9" i="9"/>
  <c r="B9" i="9"/>
  <c r="I8" i="9"/>
  <c r="B8" i="9"/>
  <c r="I7" i="9"/>
  <c r="B7" i="9"/>
  <c r="I6" i="9"/>
  <c r="M5" i="9"/>
  <c r="I5" i="9"/>
  <c r="B5" i="9"/>
  <c r="M4" i="9"/>
  <c r="I4" i="9"/>
  <c r="B4" i="9"/>
  <c r="M3" i="9"/>
  <c r="I3" i="9"/>
  <c r="M2" i="9"/>
  <c r="L2" i="9"/>
  <c r="K2" i="9"/>
  <c r="C2" i="9"/>
  <c r="F2" i="9" s="1"/>
  <c r="I158" i="8"/>
  <c r="I157" i="8"/>
  <c r="I156" i="8"/>
  <c r="M155" i="8"/>
  <c r="I155" i="8"/>
  <c r="M154" i="8"/>
  <c r="I154" i="8"/>
  <c r="M153" i="8"/>
  <c r="I153" i="8"/>
  <c r="M152" i="8"/>
  <c r="I152" i="8"/>
  <c r="M151" i="8"/>
  <c r="I151" i="8"/>
  <c r="M150" i="8"/>
  <c r="I150" i="8"/>
  <c r="M149" i="8"/>
  <c r="I149" i="8"/>
  <c r="M148" i="8"/>
  <c r="I148" i="8"/>
  <c r="B148" i="8"/>
  <c r="M147" i="8"/>
  <c r="I147" i="8"/>
  <c r="M146" i="8"/>
  <c r="I146" i="8"/>
  <c r="B146" i="8"/>
  <c r="M145" i="8"/>
  <c r="I145" i="8"/>
  <c r="B145" i="8"/>
  <c r="M144" i="8"/>
  <c r="I144" i="8"/>
  <c r="B144" i="8"/>
  <c r="M143" i="8"/>
  <c r="I143" i="8"/>
  <c r="B143" i="8"/>
  <c r="M142" i="8"/>
  <c r="I142" i="8"/>
  <c r="M141" i="8"/>
  <c r="I141" i="8"/>
  <c r="B141" i="8"/>
  <c r="M140" i="8"/>
  <c r="I140" i="8"/>
  <c r="B140" i="8"/>
  <c r="M139" i="8"/>
  <c r="I139" i="8"/>
  <c r="B139" i="8"/>
  <c r="M138" i="8"/>
  <c r="I138" i="8"/>
  <c r="B138" i="8"/>
  <c r="M137" i="8"/>
  <c r="I137" i="8"/>
  <c r="B137" i="8"/>
  <c r="M136" i="8"/>
  <c r="I136" i="8"/>
  <c r="M135" i="8"/>
  <c r="I135" i="8"/>
  <c r="B135" i="8"/>
  <c r="M134" i="8"/>
  <c r="I134" i="8"/>
  <c r="M133" i="8"/>
  <c r="I133" i="8"/>
  <c r="M132" i="8"/>
  <c r="I132" i="8"/>
  <c r="M131" i="8"/>
  <c r="I131" i="8"/>
  <c r="I130" i="8"/>
  <c r="B130" i="8"/>
  <c r="M129" i="8"/>
  <c r="I129" i="8"/>
  <c r="B129" i="8"/>
  <c r="M128" i="8"/>
  <c r="I128" i="8"/>
  <c r="B128" i="8"/>
  <c r="M127" i="8"/>
  <c r="I127" i="8"/>
  <c r="I126" i="8"/>
  <c r="M125" i="8"/>
  <c r="I125" i="8"/>
  <c r="B125" i="8"/>
  <c r="I124" i="8"/>
  <c r="M123" i="8"/>
  <c r="I123" i="8"/>
  <c r="I122" i="8"/>
  <c r="I121" i="8"/>
  <c r="I120" i="8"/>
  <c r="M119" i="8"/>
  <c r="I119" i="8"/>
  <c r="B119" i="8"/>
  <c r="M118" i="8"/>
  <c r="I118" i="8"/>
  <c r="M117" i="8"/>
  <c r="I117" i="8"/>
  <c r="B117" i="8"/>
  <c r="I116" i="8"/>
  <c r="B116" i="8"/>
  <c r="I115" i="8"/>
  <c r="A115" i="8"/>
  <c r="M114" i="8"/>
  <c r="I114" i="8"/>
  <c r="M113" i="8"/>
  <c r="I113" i="8"/>
  <c r="I112" i="8"/>
  <c r="B112" i="8"/>
  <c r="I111" i="8"/>
  <c r="B111" i="8"/>
  <c r="I110" i="8"/>
  <c r="B110" i="8"/>
  <c r="I109" i="8"/>
  <c r="B109" i="8"/>
  <c r="I108" i="8"/>
  <c r="B108" i="8"/>
  <c r="I107" i="8"/>
  <c r="M106" i="8"/>
  <c r="I106" i="8"/>
  <c r="B106" i="8"/>
  <c r="I105" i="8"/>
  <c r="B105" i="8"/>
  <c r="M104" i="8"/>
  <c r="I104" i="8"/>
  <c r="B104" i="8"/>
  <c r="I103" i="8"/>
  <c r="B103" i="8"/>
  <c r="M102" i="8"/>
  <c r="I102" i="8"/>
  <c r="B102" i="8"/>
  <c r="I101" i="8"/>
  <c r="B101" i="8"/>
  <c r="I100" i="8"/>
  <c r="I99" i="8"/>
  <c r="B99" i="8"/>
  <c r="I98" i="8"/>
  <c r="B98" i="8"/>
  <c r="M97" i="8"/>
  <c r="I97" i="8"/>
  <c r="B97" i="8"/>
  <c r="M96" i="8"/>
  <c r="I96" i="8"/>
  <c r="M95" i="8"/>
  <c r="I95" i="8"/>
  <c r="I94" i="8"/>
  <c r="B94" i="8"/>
  <c r="M93" i="8"/>
  <c r="I93" i="8"/>
  <c r="B93" i="8"/>
  <c r="M92" i="8"/>
  <c r="I92" i="8"/>
  <c r="B92" i="8"/>
  <c r="M91" i="8"/>
  <c r="I91" i="8"/>
  <c r="B91" i="8"/>
  <c r="M90" i="8"/>
  <c r="I90" i="8"/>
  <c r="B90" i="8"/>
  <c r="I89" i="8"/>
  <c r="I88" i="8"/>
  <c r="B88" i="8"/>
  <c r="I87" i="8"/>
  <c r="B87" i="8"/>
  <c r="I86" i="8"/>
  <c r="B86" i="8"/>
  <c r="I85" i="8"/>
  <c r="B85" i="8"/>
  <c r="I84" i="8"/>
  <c r="B84" i="8"/>
  <c r="I83" i="8"/>
  <c r="B83" i="8"/>
  <c r="I82" i="8"/>
  <c r="B82" i="8"/>
  <c r="I81" i="8"/>
  <c r="B81" i="8"/>
  <c r="I80" i="8"/>
  <c r="B80" i="8"/>
  <c r="I79" i="8"/>
  <c r="B79" i="8"/>
  <c r="I78" i="8"/>
  <c r="B78" i="8"/>
  <c r="I77" i="8"/>
  <c r="B77" i="8"/>
  <c r="I76" i="8"/>
  <c r="B76" i="8"/>
  <c r="I75" i="8"/>
  <c r="I74" i="8"/>
  <c r="B74" i="8"/>
  <c r="M73" i="8"/>
  <c r="I73" i="8"/>
  <c r="I72" i="8"/>
  <c r="M71" i="8"/>
  <c r="I71" i="8"/>
  <c r="B71" i="8"/>
  <c r="I70" i="8"/>
  <c r="M69" i="8"/>
  <c r="I69" i="8"/>
  <c r="M68" i="8"/>
  <c r="I68" i="8"/>
  <c r="B68" i="8"/>
  <c r="M67" i="8"/>
  <c r="I67" i="8"/>
  <c r="B67" i="8"/>
  <c r="I66" i="8"/>
  <c r="B66" i="8"/>
  <c r="M65" i="8"/>
  <c r="I65" i="8"/>
  <c r="B65" i="8"/>
  <c r="M64" i="8"/>
  <c r="I64" i="8"/>
  <c r="B64" i="8"/>
  <c r="I63" i="8"/>
  <c r="B63" i="8"/>
  <c r="M62" i="8"/>
  <c r="I62" i="8"/>
  <c r="B62" i="8"/>
  <c r="M61" i="8"/>
  <c r="I61" i="8"/>
  <c r="B61" i="8"/>
  <c r="M60" i="8"/>
  <c r="I60" i="8"/>
  <c r="B60" i="8"/>
  <c r="I59" i="8"/>
  <c r="I58" i="8"/>
  <c r="B58" i="8"/>
  <c r="I57" i="8"/>
  <c r="B57" i="8"/>
  <c r="I56" i="8"/>
  <c r="B56" i="8"/>
  <c r="I55" i="8"/>
  <c r="I54" i="8"/>
  <c r="B54" i="8"/>
  <c r="I53" i="8"/>
  <c r="B53" i="8"/>
  <c r="I52" i="8"/>
  <c r="B52" i="8"/>
  <c r="I51" i="8"/>
  <c r="B51" i="8"/>
  <c r="M50" i="8"/>
  <c r="I50" i="8"/>
  <c r="I49" i="8"/>
  <c r="B49" i="8"/>
  <c r="M48" i="8"/>
  <c r="I48" i="8"/>
  <c r="B48" i="8"/>
  <c r="M47" i="8"/>
  <c r="I47" i="8"/>
  <c r="B47" i="8"/>
  <c r="I46" i="8"/>
  <c r="I45" i="8"/>
  <c r="M44" i="8"/>
  <c r="I44" i="8"/>
  <c r="B44" i="8"/>
  <c r="M43" i="8"/>
  <c r="I43" i="8"/>
  <c r="B43" i="8"/>
  <c r="M42" i="8"/>
  <c r="I42" i="8"/>
  <c r="B42" i="8"/>
  <c r="M41" i="8"/>
  <c r="I41" i="8"/>
  <c r="B41" i="8"/>
  <c r="M40" i="8"/>
  <c r="I40" i="8"/>
  <c r="B40" i="8"/>
  <c r="M39" i="8"/>
  <c r="I39" i="8"/>
  <c r="B39" i="8"/>
  <c r="I38" i="8"/>
  <c r="B38" i="8"/>
  <c r="I37" i="8"/>
  <c r="B37" i="8"/>
  <c r="I36" i="8"/>
  <c r="A36" i="8"/>
  <c r="I35" i="8"/>
  <c r="A35" i="8"/>
  <c r="I34" i="8"/>
  <c r="A34" i="8"/>
  <c r="M33" i="8"/>
  <c r="I33" i="8"/>
  <c r="B33" i="8"/>
  <c r="M32" i="8"/>
  <c r="I32" i="8"/>
  <c r="I31" i="8"/>
  <c r="B31" i="8"/>
  <c r="I30" i="8"/>
  <c r="B30" i="8"/>
  <c r="I29" i="8"/>
  <c r="B29" i="8"/>
  <c r="I28" i="8"/>
  <c r="B28" i="8"/>
  <c r="I27" i="8"/>
  <c r="B27" i="8"/>
  <c r="I26" i="8"/>
  <c r="B26" i="8"/>
  <c r="I25" i="8"/>
  <c r="B25" i="8"/>
  <c r="M24" i="8"/>
  <c r="I24" i="8"/>
  <c r="B24" i="8"/>
  <c r="I23" i="8"/>
  <c r="B23" i="8"/>
  <c r="I22" i="8"/>
  <c r="B22" i="8"/>
  <c r="I21" i="8"/>
  <c r="M20" i="8"/>
  <c r="I20" i="8"/>
  <c r="M19" i="8"/>
  <c r="I19" i="8"/>
  <c r="I18" i="8"/>
  <c r="B18" i="8"/>
  <c r="I17" i="8"/>
  <c r="B17" i="8"/>
  <c r="M16" i="8"/>
  <c r="I16" i="8"/>
  <c r="I15" i="8"/>
  <c r="I14" i="8"/>
  <c r="B14" i="8"/>
  <c r="I13" i="8"/>
  <c r="B13" i="8"/>
  <c r="I12" i="8"/>
  <c r="B12" i="8"/>
  <c r="M11" i="8"/>
  <c r="I11" i="8"/>
  <c r="B11" i="8"/>
  <c r="I10" i="8"/>
  <c r="B10" i="8"/>
  <c r="I9" i="8"/>
  <c r="B9" i="8"/>
  <c r="I8" i="8"/>
  <c r="B8" i="8"/>
  <c r="I7" i="8"/>
  <c r="B7" i="8"/>
  <c r="I6" i="8"/>
  <c r="B6" i="8"/>
  <c r="I5" i="8"/>
  <c r="B5" i="8"/>
  <c r="I4" i="8"/>
  <c r="B4" i="8"/>
  <c r="M3" i="8"/>
  <c r="I3" i="8"/>
  <c r="M2" i="8"/>
  <c r="L2" i="8"/>
  <c r="K2" i="8"/>
  <c r="J2" i="8"/>
  <c r="I2" i="8"/>
  <c r="H2" i="8"/>
  <c r="G2" i="8"/>
  <c r="C2" i="8"/>
  <c r="F2" i="8" s="1"/>
  <c r="I160" i="7"/>
  <c r="B160" i="7"/>
  <c r="I159" i="7"/>
  <c r="B159" i="7"/>
  <c r="I158" i="7"/>
  <c r="B158" i="7"/>
  <c r="I157" i="7"/>
  <c r="B157" i="7"/>
  <c r="I156" i="7"/>
  <c r="B156" i="7"/>
  <c r="I155" i="7"/>
  <c r="B155" i="7"/>
  <c r="I154" i="7"/>
  <c r="B154" i="7"/>
  <c r="I153" i="7"/>
  <c r="B153" i="7"/>
  <c r="I152" i="7"/>
  <c r="B152" i="7"/>
  <c r="M151" i="7"/>
  <c r="I151" i="7"/>
  <c r="B151" i="7"/>
  <c r="I150" i="7"/>
  <c r="B150" i="7"/>
  <c r="I149" i="7"/>
  <c r="B149" i="7"/>
  <c r="I148" i="7"/>
  <c r="I147" i="7"/>
  <c r="B147" i="7"/>
  <c r="I146" i="7"/>
  <c r="B146" i="7"/>
  <c r="M145" i="7"/>
  <c r="I145" i="7"/>
  <c r="M144" i="7"/>
  <c r="I144" i="7"/>
  <c r="B144" i="7"/>
  <c r="M143" i="7"/>
  <c r="I143" i="7"/>
  <c r="B143" i="7"/>
  <c r="I142" i="7"/>
  <c r="B142" i="7"/>
  <c r="I141" i="7"/>
  <c r="B141" i="7"/>
  <c r="I140" i="7"/>
  <c r="B140" i="7"/>
  <c r="I139" i="7"/>
  <c r="B139" i="7"/>
  <c r="I138" i="7"/>
  <c r="B138" i="7"/>
  <c r="I137" i="7"/>
  <c r="B137" i="7"/>
  <c r="I136" i="7"/>
  <c r="B136" i="7"/>
  <c r="I135" i="7"/>
  <c r="B135" i="7"/>
  <c r="M134" i="7"/>
  <c r="I134" i="7"/>
  <c r="I133" i="7"/>
  <c r="B133" i="7"/>
  <c r="I132" i="7"/>
  <c r="B132" i="7"/>
  <c r="I131" i="7"/>
  <c r="B131" i="7"/>
  <c r="I130" i="7"/>
  <c r="B130" i="7"/>
  <c r="I129" i="7"/>
  <c r="B129" i="7"/>
  <c r="I128" i="7"/>
  <c r="B128" i="7"/>
  <c r="I127" i="7"/>
  <c r="B127" i="7"/>
  <c r="I126" i="7"/>
  <c r="B126" i="7"/>
  <c r="I125" i="7"/>
  <c r="M124" i="7"/>
  <c r="I124" i="7"/>
  <c r="M123" i="7"/>
  <c r="I123" i="7"/>
  <c r="B123" i="7"/>
  <c r="I122" i="7"/>
  <c r="B122" i="7"/>
  <c r="I121" i="7"/>
  <c r="B121" i="7"/>
  <c r="M120" i="7"/>
  <c r="I120" i="7"/>
  <c r="B120" i="7"/>
  <c r="I119" i="7"/>
  <c r="B119" i="7"/>
  <c r="I118" i="7"/>
  <c r="B118" i="7"/>
  <c r="I117" i="7"/>
  <c r="B117" i="7"/>
  <c r="M116" i="7"/>
  <c r="I116" i="7"/>
  <c r="B116" i="7"/>
  <c r="I115" i="7"/>
  <c r="B115" i="7"/>
  <c r="M114" i="7"/>
  <c r="I114" i="7"/>
  <c r="I113" i="7"/>
  <c r="B113" i="7"/>
  <c r="I112" i="7"/>
  <c r="B112" i="7"/>
  <c r="I111" i="7"/>
  <c r="B111" i="7"/>
  <c r="I110" i="7"/>
  <c r="B110" i="7"/>
  <c r="I109" i="7"/>
  <c r="B109" i="7"/>
  <c r="M108" i="7"/>
  <c r="I108" i="7"/>
  <c r="B108" i="7"/>
  <c r="I107" i="7"/>
  <c r="I106" i="7"/>
  <c r="I105" i="7"/>
  <c r="B105" i="7"/>
  <c r="M104" i="7"/>
  <c r="I104" i="7"/>
  <c r="I103" i="7"/>
  <c r="B103" i="7"/>
  <c r="I102" i="7"/>
  <c r="B102" i="7"/>
  <c r="I101" i="7"/>
  <c r="B101" i="7"/>
  <c r="I100" i="7"/>
  <c r="B100" i="7"/>
  <c r="I99" i="7"/>
  <c r="B99" i="7"/>
  <c r="M98" i="7"/>
  <c r="I98" i="7"/>
  <c r="B98" i="7"/>
  <c r="M97" i="7"/>
  <c r="I97" i="7"/>
  <c r="B97" i="7"/>
  <c r="M96" i="7"/>
  <c r="I96" i="7"/>
  <c r="B96" i="7"/>
  <c r="M95" i="7"/>
  <c r="I95" i="7"/>
  <c r="B95" i="7"/>
  <c r="I94" i="7"/>
  <c r="A94" i="7"/>
  <c r="M93" i="7"/>
  <c r="I93" i="7"/>
  <c r="B93" i="7"/>
  <c r="M92" i="7"/>
  <c r="I92" i="7"/>
  <c r="I91" i="7"/>
  <c r="B91" i="7"/>
  <c r="I90" i="7"/>
  <c r="B90" i="7"/>
  <c r="I89" i="7"/>
  <c r="B89" i="7"/>
  <c r="M88" i="7"/>
  <c r="I88" i="7"/>
  <c r="I87" i="7"/>
  <c r="B87" i="7"/>
  <c r="I86" i="7"/>
  <c r="B86" i="7"/>
  <c r="I85" i="7"/>
  <c r="B85" i="7"/>
  <c r="I84" i="7"/>
  <c r="B84" i="7"/>
  <c r="I83" i="7"/>
  <c r="B83" i="7"/>
  <c r="I82" i="7"/>
  <c r="B82" i="7"/>
  <c r="I81" i="7"/>
  <c r="B81" i="7"/>
  <c r="M80" i="7"/>
  <c r="I80" i="7"/>
  <c r="B80" i="7"/>
  <c r="M79" i="7"/>
  <c r="I79" i="7"/>
  <c r="B79" i="7"/>
  <c r="I78" i="7"/>
  <c r="I77" i="7"/>
  <c r="B77" i="7"/>
  <c r="M76" i="7"/>
  <c r="I76" i="7"/>
  <c r="B76" i="7"/>
  <c r="M75" i="7"/>
  <c r="I75" i="7"/>
  <c r="M74" i="7"/>
  <c r="I74" i="7"/>
  <c r="M73" i="7"/>
  <c r="I73" i="7"/>
  <c r="I72" i="7"/>
  <c r="B72" i="7"/>
  <c r="M71" i="7"/>
  <c r="I71" i="7"/>
  <c r="M70" i="7"/>
  <c r="I70" i="7"/>
  <c r="I69" i="7"/>
  <c r="B69" i="7"/>
  <c r="M68" i="7"/>
  <c r="I68" i="7"/>
  <c r="B68" i="7"/>
  <c r="M67" i="7"/>
  <c r="I67" i="7"/>
  <c r="B67" i="7"/>
  <c r="I66" i="7"/>
  <c r="B66" i="7"/>
  <c r="M65" i="7"/>
  <c r="I65" i="7"/>
  <c r="B65" i="7"/>
  <c r="I64" i="7"/>
  <c r="B64" i="7"/>
  <c r="I63" i="7"/>
  <c r="B63" i="7"/>
  <c r="I62" i="7"/>
  <c r="B62" i="7"/>
  <c r="M61" i="7"/>
  <c r="I61" i="7"/>
  <c r="M60" i="7"/>
  <c r="I60" i="7"/>
  <c r="B60" i="7"/>
  <c r="I59" i="7"/>
  <c r="B59" i="7"/>
  <c r="I58" i="7"/>
  <c r="B58" i="7"/>
  <c r="I57" i="7"/>
  <c r="I56" i="7"/>
  <c r="I55" i="7"/>
  <c r="I54" i="7"/>
  <c r="B54" i="7"/>
  <c r="M53" i="7"/>
  <c r="I53" i="7"/>
  <c r="B53" i="7"/>
  <c r="I52" i="7"/>
  <c r="I51" i="7"/>
  <c r="B51" i="7"/>
  <c r="M50" i="7"/>
  <c r="I50" i="7"/>
  <c r="B50" i="7"/>
  <c r="I49" i="7"/>
  <c r="B49" i="7"/>
  <c r="I48" i="7"/>
  <c r="B48" i="7"/>
  <c r="I47" i="7"/>
  <c r="I46" i="7"/>
  <c r="I45" i="7"/>
  <c r="B45" i="7"/>
  <c r="M44" i="7"/>
  <c r="I44" i="7"/>
  <c r="B44" i="7"/>
  <c r="I43" i="7"/>
  <c r="B43" i="7"/>
  <c r="I42" i="7"/>
  <c r="B42" i="7"/>
  <c r="I41" i="7"/>
  <c r="I40" i="7"/>
  <c r="I39" i="7"/>
  <c r="B39" i="7"/>
  <c r="I38" i="7"/>
  <c r="B38" i="7"/>
  <c r="I37" i="7"/>
  <c r="A37" i="7"/>
  <c r="I36" i="7"/>
  <c r="A36" i="7"/>
  <c r="I35" i="7"/>
  <c r="B35" i="7"/>
  <c r="M34" i="7"/>
  <c r="I34" i="7"/>
  <c r="B34" i="7"/>
  <c r="M33" i="7"/>
  <c r="I33" i="7"/>
  <c r="B33" i="7"/>
  <c r="I32" i="7"/>
  <c r="B32" i="7"/>
  <c r="M31" i="7"/>
  <c r="I31" i="7"/>
  <c r="B31" i="7"/>
  <c r="M30" i="7"/>
  <c r="I30" i="7"/>
  <c r="B30" i="7"/>
  <c r="I29" i="7"/>
  <c r="B29" i="7"/>
  <c r="I28" i="7"/>
  <c r="B28" i="7"/>
  <c r="I27" i="7"/>
  <c r="B27" i="7"/>
  <c r="I26" i="7"/>
  <c r="B26" i="7"/>
  <c r="I25" i="7"/>
  <c r="B25" i="7"/>
  <c r="I24" i="7"/>
  <c r="B24" i="7"/>
  <c r="I23" i="7"/>
  <c r="B23" i="7"/>
  <c r="M22" i="7"/>
  <c r="I22" i="7"/>
  <c r="I21" i="7"/>
  <c r="B21" i="7"/>
  <c r="M20" i="7"/>
  <c r="I20" i="7"/>
  <c r="I19" i="7"/>
  <c r="B19" i="7"/>
  <c r="I18" i="7"/>
  <c r="B18" i="7"/>
  <c r="I17" i="7"/>
  <c r="M16" i="7"/>
  <c r="I16" i="7"/>
  <c r="B16" i="7"/>
  <c r="I15" i="7"/>
  <c r="B15" i="7"/>
  <c r="I14" i="7"/>
  <c r="B14" i="7"/>
  <c r="I13" i="7"/>
  <c r="B13" i="7"/>
  <c r="I12" i="7"/>
  <c r="B12" i="7"/>
  <c r="I11" i="7"/>
  <c r="B11" i="7"/>
  <c r="I10" i="7"/>
  <c r="B10" i="7"/>
  <c r="I9" i="7"/>
  <c r="B9" i="7"/>
  <c r="I8" i="7"/>
  <c r="B8" i="7"/>
  <c r="I7" i="7"/>
  <c r="B7" i="7"/>
  <c r="I6" i="7"/>
  <c r="B6" i="7"/>
  <c r="I5" i="7"/>
  <c r="B5" i="7"/>
  <c r="M4" i="7"/>
  <c r="I4" i="7"/>
  <c r="B4" i="7"/>
  <c r="I3" i="7"/>
  <c r="B3" i="7"/>
  <c r="M2" i="7"/>
  <c r="L2" i="7"/>
  <c r="K2" i="7"/>
  <c r="C2" i="7"/>
  <c r="E2" i="7" s="1"/>
  <c r="I201" i="6"/>
  <c r="B201" i="6"/>
  <c r="I200" i="6"/>
  <c r="B200" i="6"/>
  <c r="I199" i="6"/>
  <c r="B199" i="6"/>
  <c r="I198" i="6"/>
  <c r="B198" i="6"/>
  <c r="I197" i="6"/>
  <c r="B197" i="6"/>
  <c r="I196" i="6"/>
  <c r="B196" i="6"/>
  <c r="I195" i="6"/>
  <c r="B195" i="6"/>
  <c r="I194" i="6"/>
  <c r="I193" i="6"/>
  <c r="B193" i="6"/>
  <c r="I192" i="6"/>
  <c r="B192" i="6"/>
  <c r="I191" i="6"/>
  <c r="B191" i="6"/>
  <c r="I190" i="6"/>
  <c r="B190" i="6"/>
  <c r="I189" i="6"/>
  <c r="B189" i="6"/>
  <c r="I188" i="6"/>
  <c r="B188" i="6"/>
  <c r="I187" i="6"/>
  <c r="B187" i="6"/>
  <c r="I186" i="6"/>
  <c r="B186" i="6"/>
  <c r="I185" i="6"/>
  <c r="B185" i="6"/>
  <c r="I184" i="6"/>
  <c r="B184" i="6"/>
  <c r="I183" i="6"/>
  <c r="B183" i="6"/>
  <c r="I182" i="6"/>
  <c r="I181" i="6"/>
  <c r="B181" i="6"/>
  <c r="I180" i="6"/>
  <c r="B180" i="6"/>
  <c r="I179" i="6"/>
  <c r="B179" i="6"/>
  <c r="I178" i="6"/>
  <c r="B178" i="6"/>
  <c r="I177" i="6"/>
  <c r="B177" i="6"/>
  <c r="I176" i="6"/>
  <c r="B176" i="6"/>
  <c r="I175" i="6"/>
  <c r="B175" i="6"/>
  <c r="I174" i="6"/>
  <c r="B174" i="6"/>
  <c r="I173" i="6"/>
  <c r="B173" i="6"/>
  <c r="I172" i="6"/>
  <c r="B172" i="6"/>
  <c r="I171" i="6"/>
  <c r="B171" i="6"/>
  <c r="I170" i="6"/>
  <c r="M169" i="6"/>
  <c r="I169" i="6"/>
  <c r="B169" i="6"/>
  <c r="I168" i="6"/>
  <c r="B168" i="6"/>
  <c r="I167" i="6"/>
  <c r="B167" i="6"/>
  <c r="I166" i="6"/>
  <c r="B166" i="6"/>
  <c r="I165" i="6"/>
  <c r="B165" i="6"/>
  <c r="I164" i="6"/>
  <c r="B164" i="6"/>
  <c r="I163" i="6"/>
  <c r="B163" i="6"/>
  <c r="I162" i="6"/>
  <c r="B162" i="6"/>
  <c r="I161" i="6"/>
  <c r="B161" i="6"/>
  <c r="I160" i="6"/>
  <c r="B160" i="6"/>
  <c r="I159" i="6"/>
  <c r="B159" i="6"/>
  <c r="I158" i="6"/>
  <c r="B158" i="6"/>
  <c r="I157" i="6"/>
  <c r="I156" i="6"/>
  <c r="I155" i="6"/>
  <c r="I154" i="6"/>
  <c r="B154" i="6"/>
  <c r="M153" i="6"/>
  <c r="I153" i="6"/>
  <c r="B153" i="6"/>
  <c r="M152" i="6"/>
  <c r="I152" i="6"/>
  <c r="B152" i="6"/>
  <c r="M151" i="6"/>
  <c r="I151" i="6"/>
  <c r="I150" i="6"/>
  <c r="B150" i="6"/>
  <c r="I149" i="6"/>
  <c r="B149" i="6"/>
  <c r="M148" i="6"/>
  <c r="I148" i="6"/>
  <c r="B148" i="6"/>
  <c r="M147" i="6"/>
  <c r="I147" i="6"/>
  <c r="I146" i="6"/>
  <c r="I145" i="6"/>
  <c r="I144" i="6"/>
  <c r="B144" i="6"/>
  <c r="I143" i="6"/>
  <c r="B143" i="6"/>
  <c r="M142" i="6"/>
  <c r="I142" i="6"/>
  <c r="B142" i="6"/>
  <c r="M141" i="6"/>
  <c r="I141" i="6"/>
  <c r="B141" i="6"/>
  <c r="M140" i="6"/>
  <c r="I140" i="6"/>
  <c r="B140" i="6"/>
  <c r="I139" i="6"/>
  <c r="B139" i="6"/>
  <c r="M138" i="6"/>
  <c r="I138" i="6"/>
  <c r="B138" i="6"/>
  <c r="I137" i="6"/>
  <c r="I136" i="6"/>
  <c r="B136" i="6"/>
  <c r="I135" i="6"/>
  <c r="B135" i="6"/>
  <c r="M134" i="6"/>
  <c r="I134" i="6"/>
  <c r="B134" i="6"/>
  <c r="I133" i="6"/>
  <c r="B133" i="6"/>
  <c r="M132" i="6"/>
  <c r="I132" i="6"/>
  <c r="B132" i="6"/>
  <c r="I131" i="6"/>
  <c r="B131" i="6"/>
  <c r="M130" i="6"/>
  <c r="I130" i="6"/>
  <c r="B130" i="6"/>
  <c r="I129" i="6"/>
  <c r="M128" i="6"/>
  <c r="I128" i="6"/>
  <c r="B128" i="6"/>
  <c r="M127" i="6"/>
  <c r="I127" i="6"/>
  <c r="B127" i="6"/>
  <c r="M126" i="6"/>
  <c r="I126" i="6"/>
  <c r="B126" i="6"/>
  <c r="M125" i="6"/>
  <c r="I125" i="6"/>
  <c r="M124" i="6"/>
  <c r="I124" i="6"/>
  <c r="I123" i="6"/>
  <c r="I122" i="6"/>
  <c r="B122" i="6"/>
  <c r="I121" i="6"/>
  <c r="B121" i="6"/>
  <c r="I120" i="6"/>
  <c r="B120" i="6"/>
  <c r="I119" i="6"/>
  <c r="B119" i="6"/>
  <c r="I118" i="6"/>
  <c r="B118" i="6"/>
  <c r="I117" i="6"/>
  <c r="B117" i="6"/>
  <c r="I116" i="6"/>
  <c r="B116" i="6"/>
  <c r="I115" i="6"/>
  <c r="B115" i="6"/>
  <c r="I114" i="6"/>
  <c r="B114" i="6"/>
  <c r="I113" i="6"/>
  <c r="B113" i="6"/>
  <c r="I112" i="6"/>
  <c r="M111" i="6"/>
  <c r="I111" i="6"/>
  <c r="B111" i="6"/>
  <c r="M110" i="6"/>
  <c r="I110" i="6"/>
  <c r="B110" i="6"/>
  <c r="I109" i="6"/>
  <c r="B109" i="6"/>
  <c r="M108" i="6"/>
  <c r="I108" i="6"/>
  <c r="B108" i="6"/>
  <c r="M107" i="6"/>
  <c r="I107" i="6"/>
  <c r="B107" i="6"/>
  <c r="I106" i="6"/>
  <c r="B106" i="6"/>
  <c r="M105" i="6"/>
  <c r="I105" i="6"/>
  <c r="B105" i="6"/>
  <c r="M104" i="6"/>
  <c r="I104" i="6"/>
  <c r="M103" i="6"/>
  <c r="I103" i="6"/>
  <c r="M102" i="6"/>
  <c r="I102" i="6"/>
  <c r="I101" i="6"/>
  <c r="B101" i="6"/>
  <c r="I100" i="6"/>
  <c r="B100" i="6"/>
  <c r="I99" i="6"/>
  <c r="B99" i="6"/>
  <c r="I98" i="6"/>
  <c r="B98" i="6"/>
  <c r="I97" i="6"/>
  <c r="B97" i="6"/>
  <c r="M96" i="6"/>
  <c r="I96" i="6"/>
  <c r="B96" i="6"/>
  <c r="I95" i="6"/>
  <c r="B95" i="6"/>
  <c r="I94" i="6"/>
  <c r="B94" i="6"/>
  <c r="I93" i="6"/>
  <c r="B93" i="6"/>
  <c r="I92" i="6"/>
  <c r="M91" i="6"/>
  <c r="I91" i="6"/>
  <c r="M90" i="6"/>
  <c r="I90" i="6"/>
  <c r="I89" i="6"/>
  <c r="A89" i="6"/>
  <c r="I88" i="6"/>
  <c r="A88" i="6"/>
  <c r="I87" i="6"/>
  <c r="B87" i="6"/>
  <c r="M86" i="6"/>
  <c r="I86" i="6"/>
  <c r="B86" i="6"/>
  <c r="M85" i="6"/>
  <c r="I85" i="6"/>
  <c r="M84" i="6"/>
  <c r="I84" i="6"/>
  <c r="B84" i="6"/>
  <c r="I83" i="6"/>
  <c r="B83" i="6"/>
  <c r="M82" i="6"/>
  <c r="I82" i="6"/>
  <c r="B82" i="6"/>
  <c r="I81" i="6"/>
  <c r="B81" i="6"/>
  <c r="I80" i="6"/>
  <c r="B80" i="6"/>
  <c r="M79" i="6"/>
  <c r="I79" i="6"/>
  <c r="B79" i="6"/>
  <c r="I78" i="6"/>
  <c r="B78" i="6"/>
  <c r="M77" i="6"/>
  <c r="I77" i="6"/>
  <c r="M76" i="6"/>
  <c r="I76" i="6"/>
  <c r="I75" i="6"/>
  <c r="B75" i="6"/>
  <c r="M74" i="6"/>
  <c r="I74" i="6"/>
  <c r="B74" i="6"/>
  <c r="I73" i="6"/>
  <c r="B73" i="6"/>
  <c r="M72" i="6"/>
  <c r="I72" i="6"/>
  <c r="B72" i="6"/>
  <c r="M71" i="6"/>
  <c r="I71" i="6"/>
  <c r="B71" i="6"/>
  <c r="I70" i="6"/>
  <c r="B70" i="6"/>
  <c r="M69" i="6"/>
  <c r="I69" i="6"/>
  <c r="B69" i="6"/>
  <c r="I68" i="6"/>
  <c r="B68" i="6"/>
  <c r="I67" i="6"/>
  <c r="B67" i="6"/>
  <c r="I66" i="6"/>
  <c r="M65" i="6"/>
  <c r="I65" i="6"/>
  <c r="I64" i="6"/>
  <c r="B64" i="6"/>
  <c r="I63" i="6"/>
  <c r="B63" i="6"/>
  <c r="I62" i="6"/>
  <c r="B62" i="6"/>
  <c r="I61" i="6"/>
  <c r="B61" i="6"/>
  <c r="I60" i="6"/>
  <c r="M59" i="6"/>
  <c r="I59" i="6"/>
  <c r="B59" i="6"/>
  <c r="M58" i="6"/>
  <c r="I58" i="6"/>
  <c r="M57" i="6"/>
  <c r="I57" i="6"/>
  <c r="B57" i="6"/>
  <c r="M56" i="6"/>
  <c r="I56" i="6"/>
  <c r="B56" i="6"/>
  <c r="M55" i="6"/>
  <c r="I55" i="6"/>
  <c r="B55" i="6"/>
  <c r="M54" i="6"/>
  <c r="I54" i="6"/>
  <c r="M53" i="6"/>
  <c r="I53" i="6"/>
  <c r="B53" i="6"/>
  <c r="M52" i="6"/>
  <c r="I52" i="6"/>
  <c r="B52" i="6"/>
  <c r="M51" i="6"/>
  <c r="I51" i="6"/>
  <c r="I49" i="6"/>
  <c r="B49" i="6"/>
  <c r="I48" i="6"/>
  <c r="B48" i="6"/>
  <c r="I47" i="6"/>
  <c r="B47" i="6"/>
  <c r="I46" i="6"/>
  <c r="B46" i="6"/>
  <c r="M45" i="6"/>
  <c r="I45" i="6"/>
  <c r="B45" i="6"/>
  <c r="I44" i="6"/>
  <c r="B44" i="6"/>
  <c r="I43" i="6"/>
  <c r="B43" i="6"/>
  <c r="M42" i="6"/>
  <c r="I42" i="6"/>
  <c r="B42" i="6"/>
  <c r="I41" i="6"/>
  <c r="M40" i="6"/>
  <c r="I40" i="6"/>
  <c r="B40" i="6"/>
  <c r="M39" i="6"/>
  <c r="I39" i="6"/>
  <c r="B39" i="6"/>
  <c r="I38" i="6"/>
  <c r="B38" i="6"/>
  <c r="I37" i="6"/>
  <c r="B37" i="6"/>
  <c r="I36" i="6"/>
  <c r="B36" i="6"/>
  <c r="I35" i="6"/>
  <c r="B35" i="6"/>
  <c r="I34" i="6"/>
  <c r="B34" i="6"/>
  <c r="I33" i="6"/>
  <c r="B33" i="6"/>
  <c r="M32" i="6"/>
  <c r="I32" i="6"/>
  <c r="B32" i="6"/>
  <c r="M31" i="6"/>
  <c r="I31" i="6"/>
  <c r="M30" i="6"/>
  <c r="I30" i="6"/>
  <c r="I29" i="6"/>
  <c r="B29" i="6"/>
  <c r="I28" i="6"/>
  <c r="B28" i="6"/>
  <c r="I27" i="6"/>
  <c r="B27" i="6"/>
  <c r="I26" i="6"/>
  <c r="B26" i="6"/>
  <c r="I25" i="6"/>
  <c r="B25" i="6"/>
  <c r="I24" i="6"/>
  <c r="B24" i="6"/>
  <c r="I23" i="6"/>
  <c r="B23" i="6"/>
  <c r="M22" i="6"/>
  <c r="I22" i="6"/>
  <c r="B22" i="6"/>
  <c r="M21" i="6"/>
  <c r="I21" i="6"/>
  <c r="B21" i="6"/>
  <c r="M20" i="6"/>
  <c r="I20" i="6"/>
  <c r="B20" i="6"/>
  <c r="M19" i="6"/>
  <c r="I19" i="6"/>
  <c r="B19" i="6"/>
  <c r="I18" i="6"/>
  <c r="B18" i="6"/>
  <c r="I17" i="6"/>
  <c r="B17" i="6"/>
  <c r="I16" i="6"/>
  <c r="B16" i="6"/>
  <c r="M15" i="6"/>
  <c r="I15" i="6"/>
  <c r="B15" i="6"/>
  <c r="M14" i="6"/>
  <c r="I14" i="6"/>
  <c r="B14" i="6"/>
  <c r="I13" i="6"/>
  <c r="I12" i="6"/>
  <c r="I11" i="6"/>
  <c r="B11" i="6"/>
  <c r="I10" i="6"/>
  <c r="M9" i="6"/>
  <c r="I9" i="6"/>
  <c r="B9" i="6"/>
  <c r="M8" i="6"/>
  <c r="I8" i="6"/>
  <c r="B8" i="6"/>
  <c r="M7" i="6"/>
  <c r="I7" i="6"/>
  <c r="B7" i="6"/>
  <c r="M6" i="6"/>
  <c r="I6" i="6"/>
  <c r="B6" i="6"/>
  <c r="M5" i="6"/>
  <c r="I5" i="6"/>
  <c r="M4" i="6"/>
  <c r="I4" i="6"/>
  <c r="M3" i="6"/>
  <c r="I3" i="6"/>
  <c r="M2" i="6"/>
  <c r="L2" i="6"/>
  <c r="K2" i="6"/>
  <c r="E2" i="6"/>
  <c r="C2" i="6"/>
  <c r="G2" i="6" s="1"/>
  <c r="I200" i="5"/>
  <c r="B200" i="5"/>
  <c r="I199" i="5"/>
  <c r="B199" i="5"/>
  <c r="I198" i="5"/>
  <c r="B198" i="5"/>
  <c r="I197" i="5"/>
  <c r="B197" i="5"/>
  <c r="I196" i="5"/>
  <c r="B196" i="5"/>
  <c r="I195" i="5"/>
  <c r="B195" i="5"/>
  <c r="I194" i="5"/>
  <c r="B194" i="5"/>
  <c r="I193" i="5"/>
  <c r="B193" i="5"/>
  <c r="M192" i="5"/>
  <c r="I192" i="5"/>
  <c r="B192" i="5"/>
  <c r="I191" i="5"/>
  <c r="I190" i="5"/>
  <c r="B190" i="5"/>
  <c r="I189" i="5"/>
  <c r="B189" i="5"/>
  <c r="I188" i="5"/>
  <c r="B188" i="5"/>
  <c r="I187" i="5"/>
  <c r="B187" i="5"/>
  <c r="I186" i="5"/>
  <c r="B186" i="5"/>
  <c r="I185" i="5"/>
  <c r="B185" i="5"/>
  <c r="I184" i="5"/>
  <c r="B184" i="5"/>
  <c r="I183" i="5"/>
  <c r="B183" i="5"/>
  <c r="I182" i="5"/>
  <c r="B182" i="5"/>
  <c r="M181" i="5"/>
  <c r="I181" i="5"/>
  <c r="B181" i="5"/>
  <c r="I180" i="5"/>
  <c r="B180" i="5"/>
  <c r="I179" i="5"/>
  <c r="B179" i="5"/>
  <c r="I178" i="5"/>
  <c r="B178" i="5"/>
  <c r="I177" i="5"/>
  <c r="I176" i="5"/>
  <c r="B176" i="5"/>
  <c r="I175" i="5"/>
  <c r="B175" i="5"/>
  <c r="I174" i="5"/>
  <c r="B174" i="5"/>
  <c r="I173" i="5"/>
  <c r="B173" i="5"/>
  <c r="I172" i="5"/>
  <c r="B172" i="5"/>
  <c r="I171" i="5"/>
  <c r="B171" i="5"/>
  <c r="I170" i="5"/>
  <c r="B170" i="5"/>
  <c r="I169" i="5"/>
  <c r="B169" i="5"/>
  <c r="I168" i="5"/>
  <c r="B168" i="5"/>
  <c r="I167" i="5"/>
  <c r="B167" i="5"/>
  <c r="I166" i="5"/>
  <c r="B166" i="5"/>
  <c r="I165" i="5"/>
  <c r="B165" i="5"/>
  <c r="I164" i="5"/>
  <c r="I163" i="5"/>
  <c r="B163" i="5"/>
  <c r="I162" i="5"/>
  <c r="B162" i="5"/>
  <c r="I161" i="5"/>
  <c r="B161" i="5"/>
  <c r="I160" i="5"/>
  <c r="B160" i="5"/>
  <c r="I159" i="5"/>
  <c r="B159" i="5"/>
  <c r="I158" i="5"/>
  <c r="B158" i="5"/>
  <c r="I157" i="5"/>
  <c r="B157" i="5"/>
  <c r="I156" i="5"/>
  <c r="B156" i="5"/>
  <c r="I155" i="5"/>
  <c r="B155" i="5"/>
  <c r="I154" i="5"/>
  <c r="B154" i="5"/>
  <c r="I153" i="5"/>
  <c r="B153" i="5"/>
  <c r="I152" i="5"/>
  <c r="B152" i="5"/>
  <c r="I151" i="5"/>
  <c r="I150" i="5"/>
  <c r="I149" i="5"/>
  <c r="M148" i="5"/>
  <c r="I148" i="5"/>
  <c r="B148" i="5"/>
  <c r="M147" i="5"/>
  <c r="I147" i="5"/>
  <c r="B147" i="5"/>
  <c r="M146" i="5"/>
  <c r="I146" i="5"/>
  <c r="B146" i="5"/>
  <c r="I145" i="5"/>
  <c r="M144" i="5"/>
  <c r="I144" i="5"/>
  <c r="B144" i="5"/>
  <c r="M143" i="5"/>
  <c r="I143" i="5"/>
  <c r="I142" i="5"/>
  <c r="B142" i="5"/>
  <c r="I141" i="5"/>
  <c r="B141" i="5"/>
  <c r="M140" i="5"/>
  <c r="I140" i="5"/>
  <c r="B140" i="5"/>
  <c r="M139" i="5"/>
  <c r="I139" i="5"/>
  <c r="B139" i="5"/>
  <c r="M138" i="5"/>
  <c r="I138" i="5"/>
  <c r="B138" i="5"/>
  <c r="M137" i="5"/>
  <c r="I137" i="5"/>
  <c r="B137" i="5"/>
  <c r="M136" i="5"/>
  <c r="I136" i="5"/>
  <c r="B136" i="5"/>
  <c r="M135" i="5"/>
  <c r="I135" i="5"/>
  <c r="B135" i="5"/>
  <c r="M134" i="5"/>
  <c r="I134" i="5"/>
  <c r="B134" i="5"/>
  <c r="M133" i="5"/>
  <c r="I133" i="5"/>
  <c r="I132" i="5"/>
  <c r="M131" i="5"/>
  <c r="I131" i="5"/>
  <c r="B131" i="5"/>
  <c r="M130" i="5"/>
  <c r="I130" i="5"/>
  <c r="B130" i="5"/>
  <c r="I129" i="5"/>
  <c r="B129" i="5"/>
  <c r="M128" i="5"/>
  <c r="I128" i="5"/>
  <c r="B128" i="5"/>
  <c r="I127" i="5"/>
  <c r="I126" i="5"/>
  <c r="B126" i="5"/>
  <c r="I125" i="5"/>
  <c r="B125" i="5"/>
  <c r="I124" i="5"/>
  <c r="B124" i="5"/>
  <c r="M123" i="5"/>
  <c r="I123" i="5"/>
  <c r="B123" i="5"/>
  <c r="I122" i="5"/>
  <c r="B122" i="5"/>
  <c r="I121" i="5"/>
  <c r="B121" i="5"/>
  <c r="M120" i="5"/>
  <c r="I120" i="5"/>
  <c r="B120" i="5"/>
  <c r="I119" i="5"/>
  <c r="B119" i="5"/>
  <c r="I118" i="5"/>
  <c r="B118" i="5"/>
  <c r="I117" i="5"/>
  <c r="B117" i="5"/>
  <c r="I116" i="5"/>
  <c r="I115" i="5"/>
  <c r="B115" i="5"/>
  <c r="I114" i="5"/>
  <c r="I113" i="5"/>
  <c r="M112" i="5"/>
  <c r="I112" i="5"/>
  <c r="B112" i="5"/>
  <c r="M111" i="5"/>
  <c r="I111" i="5"/>
  <c r="B111" i="5"/>
  <c r="M110" i="5"/>
  <c r="I110" i="5"/>
  <c r="B110" i="5"/>
  <c r="I109" i="5"/>
  <c r="B109" i="5"/>
  <c r="M108" i="5"/>
  <c r="I108" i="5"/>
  <c r="M107" i="5"/>
  <c r="I107" i="5"/>
  <c r="M106" i="5"/>
  <c r="I106" i="5"/>
  <c r="I105" i="5"/>
  <c r="B105" i="5"/>
  <c r="I104" i="5"/>
  <c r="B104" i="5"/>
  <c r="I103" i="5"/>
  <c r="B103" i="5"/>
  <c r="M102" i="5"/>
  <c r="I102" i="5"/>
  <c r="B102" i="5"/>
  <c r="M101" i="5"/>
  <c r="I101" i="5"/>
  <c r="B101" i="5"/>
  <c r="I100" i="5"/>
  <c r="B100" i="5"/>
  <c r="I99" i="5"/>
  <c r="B99" i="5"/>
  <c r="I98" i="5"/>
  <c r="B98" i="5"/>
  <c r="I97" i="5"/>
  <c r="B97" i="5"/>
  <c r="I96" i="5"/>
  <c r="B96" i="5"/>
  <c r="I95" i="5"/>
  <c r="I94" i="5"/>
  <c r="M93" i="5"/>
  <c r="I93" i="5"/>
  <c r="B93" i="5"/>
  <c r="M92" i="5"/>
  <c r="I92" i="5"/>
  <c r="B92" i="5"/>
  <c r="M91" i="5"/>
  <c r="I91" i="5"/>
  <c r="B91" i="5"/>
  <c r="I90" i="5"/>
  <c r="B90" i="5"/>
  <c r="M89" i="5"/>
  <c r="I89" i="5"/>
  <c r="B89" i="5"/>
  <c r="M88" i="5"/>
  <c r="I88" i="5"/>
  <c r="B88" i="5"/>
  <c r="M87" i="5"/>
  <c r="I87" i="5"/>
  <c r="B87" i="5"/>
  <c r="M86" i="5"/>
  <c r="I86" i="5"/>
  <c r="M85" i="5"/>
  <c r="I85" i="5"/>
  <c r="I84" i="5"/>
  <c r="B84" i="5"/>
  <c r="I83" i="5"/>
  <c r="B83" i="5"/>
  <c r="I82" i="5"/>
  <c r="B82" i="5"/>
  <c r="M81" i="5"/>
  <c r="I81" i="5"/>
  <c r="B81" i="5"/>
  <c r="I80" i="5"/>
  <c r="B80" i="5"/>
  <c r="I79" i="5"/>
  <c r="B79" i="5"/>
  <c r="I78" i="5"/>
  <c r="M77" i="5"/>
  <c r="I77" i="5"/>
  <c r="I76" i="5"/>
  <c r="B76" i="5"/>
  <c r="I75" i="5"/>
  <c r="B75" i="5"/>
  <c r="I74" i="5"/>
  <c r="I73" i="5"/>
  <c r="M72" i="5"/>
  <c r="I72" i="5"/>
  <c r="M71" i="5"/>
  <c r="I71" i="5"/>
  <c r="B71" i="5"/>
  <c r="I70" i="5"/>
  <c r="B70" i="5"/>
  <c r="M69" i="5"/>
  <c r="I69" i="5"/>
  <c r="M68" i="5"/>
  <c r="I68" i="5"/>
  <c r="I67" i="5"/>
  <c r="B67" i="5"/>
  <c r="I66" i="5"/>
  <c r="B66" i="5"/>
  <c r="I65" i="5"/>
  <c r="B65" i="5"/>
  <c r="I64" i="5"/>
  <c r="B64" i="5"/>
  <c r="I63" i="5"/>
  <c r="B63" i="5"/>
  <c r="I62" i="5"/>
  <c r="B62" i="5"/>
  <c r="I61" i="5"/>
  <c r="B61" i="5"/>
  <c r="I60" i="5"/>
  <c r="B60" i="5"/>
  <c r="I59" i="5"/>
  <c r="M58" i="5"/>
  <c r="I58" i="5"/>
  <c r="M57" i="5"/>
  <c r="I57" i="5"/>
  <c r="B57" i="5"/>
  <c r="M56" i="5"/>
  <c r="I56" i="5"/>
  <c r="B56" i="5"/>
  <c r="M55" i="5"/>
  <c r="I55" i="5"/>
  <c r="B55" i="5"/>
  <c r="M54" i="5"/>
  <c r="I54" i="5"/>
  <c r="B54" i="5"/>
  <c r="M53" i="5"/>
  <c r="I53" i="5"/>
  <c r="M52" i="5"/>
  <c r="I52" i="5"/>
  <c r="M51" i="5"/>
  <c r="I51" i="5"/>
  <c r="I50" i="5"/>
  <c r="B50" i="5"/>
  <c r="I49" i="5"/>
  <c r="B49" i="5"/>
  <c r="M48" i="5"/>
  <c r="I48" i="5"/>
  <c r="B48" i="5"/>
  <c r="I47" i="5"/>
  <c r="B47" i="5"/>
  <c r="I46" i="5"/>
  <c r="B46" i="5"/>
  <c r="I45" i="5"/>
  <c r="B45" i="5"/>
  <c r="I44" i="5"/>
  <c r="B44" i="5"/>
  <c r="M43" i="5"/>
  <c r="I43" i="5"/>
  <c r="M42" i="5"/>
  <c r="I42" i="5"/>
  <c r="M41" i="5"/>
  <c r="I41" i="5"/>
  <c r="B41" i="5"/>
  <c r="M40" i="5"/>
  <c r="I40" i="5"/>
  <c r="B40" i="5"/>
  <c r="I39" i="5"/>
  <c r="B39" i="5"/>
  <c r="M38" i="5"/>
  <c r="I38" i="5"/>
  <c r="M37" i="5"/>
  <c r="I37" i="5"/>
  <c r="B37" i="5"/>
  <c r="M36" i="5"/>
  <c r="I36" i="5"/>
  <c r="B36" i="5"/>
  <c r="I35" i="5"/>
  <c r="B35" i="5"/>
  <c r="I34" i="5"/>
  <c r="B34" i="5"/>
  <c r="I33" i="5"/>
  <c r="B33" i="5"/>
  <c r="M32" i="5"/>
  <c r="I32" i="5"/>
  <c r="B32" i="5"/>
  <c r="M31" i="5"/>
  <c r="I31" i="5"/>
  <c r="I30" i="5"/>
  <c r="B30" i="5"/>
  <c r="I29" i="5"/>
  <c r="B29" i="5"/>
  <c r="M28" i="5"/>
  <c r="I28" i="5"/>
  <c r="B28" i="5"/>
  <c r="M27" i="5"/>
  <c r="I27" i="5"/>
  <c r="B27" i="5"/>
  <c r="I26" i="5"/>
  <c r="B26" i="5"/>
  <c r="I25" i="5"/>
  <c r="I24" i="5"/>
  <c r="B24" i="5"/>
  <c r="I23" i="5"/>
  <c r="B23" i="5"/>
  <c r="M22" i="5"/>
  <c r="I22" i="5"/>
  <c r="M21" i="5"/>
  <c r="I21" i="5"/>
  <c r="B21" i="5"/>
  <c r="M20" i="5"/>
  <c r="I20" i="5"/>
  <c r="B20" i="5"/>
  <c r="M19" i="5"/>
  <c r="I19" i="5"/>
  <c r="B19" i="5"/>
  <c r="I18" i="5"/>
  <c r="B18" i="5"/>
  <c r="M17" i="5"/>
  <c r="I17" i="5"/>
  <c r="B17" i="5"/>
  <c r="M16" i="5"/>
  <c r="I16" i="5"/>
  <c r="B16" i="5"/>
  <c r="I15" i="5"/>
  <c r="B15" i="5"/>
  <c r="I14" i="5"/>
  <c r="B14" i="5"/>
  <c r="M13" i="5"/>
  <c r="I13" i="5"/>
  <c r="B13" i="5"/>
  <c r="M12" i="5"/>
  <c r="I12" i="5"/>
  <c r="M11" i="5"/>
  <c r="I11" i="5"/>
  <c r="M10" i="5"/>
  <c r="I10" i="5"/>
  <c r="I9" i="5"/>
  <c r="I8" i="5"/>
  <c r="B8" i="5"/>
  <c r="I7" i="5"/>
  <c r="B7" i="5"/>
  <c r="I6" i="5"/>
  <c r="B6" i="5"/>
  <c r="M5" i="5"/>
  <c r="I5" i="5"/>
  <c r="B5" i="5"/>
  <c r="M2" i="5"/>
  <c r="L2" i="5"/>
  <c r="K2" i="5"/>
  <c r="C2" i="5"/>
  <c r="I2" i="5" s="1"/>
  <c r="I218" i="4"/>
  <c r="B218" i="4"/>
  <c r="I217" i="4"/>
  <c r="B217" i="4"/>
  <c r="I216" i="4"/>
  <c r="B216" i="4"/>
  <c r="I215" i="4"/>
  <c r="B215" i="4"/>
  <c r="I214" i="4"/>
  <c r="B214" i="4"/>
  <c r="I213" i="4"/>
  <c r="B213" i="4"/>
  <c r="I212" i="4"/>
  <c r="B212" i="4"/>
  <c r="I211" i="4"/>
  <c r="B211" i="4"/>
  <c r="I210" i="4"/>
  <c r="B210" i="4"/>
  <c r="I209" i="4"/>
  <c r="B209" i="4"/>
  <c r="I208" i="4"/>
  <c r="I207" i="4"/>
  <c r="B207" i="4"/>
  <c r="I206" i="4"/>
  <c r="B206" i="4"/>
  <c r="I205" i="4"/>
  <c r="B205" i="4"/>
  <c r="I204" i="4"/>
  <c r="B204" i="4"/>
  <c r="I203" i="4"/>
  <c r="B203" i="4"/>
  <c r="I202" i="4"/>
  <c r="B202" i="4"/>
  <c r="I201" i="4"/>
  <c r="B201" i="4"/>
  <c r="I200" i="4"/>
  <c r="B200" i="4"/>
  <c r="I199" i="4"/>
  <c r="B199" i="4"/>
  <c r="I198" i="4"/>
  <c r="B198" i="4"/>
  <c r="I197" i="4"/>
  <c r="I196" i="4"/>
  <c r="B196" i="4"/>
  <c r="I195" i="4"/>
  <c r="B195" i="4"/>
  <c r="I194" i="4"/>
  <c r="B194" i="4"/>
  <c r="I193" i="4"/>
  <c r="B193" i="4"/>
  <c r="I192" i="4"/>
  <c r="B192" i="4"/>
  <c r="I191" i="4"/>
  <c r="B191" i="4"/>
  <c r="I190" i="4"/>
  <c r="B190" i="4"/>
  <c r="I189" i="4"/>
  <c r="B189" i="4"/>
  <c r="I188" i="4"/>
  <c r="I187" i="4"/>
  <c r="B187" i="4"/>
  <c r="I186" i="4"/>
  <c r="B186" i="4"/>
  <c r="I185" i="4"/>
  <c r="B185" i="4"/>
  <c r="I184" i="4"/>
  <c r="B184" i="4"/>
  <c r="I183" i="4"/>
  <c r="B183" i="4"/>
  <c r="I182" i="4"/>
  <c r="B182" i="4"/>
  <c r="I181" i="4"/>
  <c r="B181" i="4"/>
  <c r="I180" i="4"/>
  <c r="B180" i="4"/>
  <c r="I179" i="4"/>
  <c r="B179" i="4"/>
  <c r="I178" i="4"/>
  <c r="B178" i="4"/>
  <c r="I177" i="4"/>
  <c r="B177" i="4"/>
  <c r="I176" i="4"/>
  <c r="B176" i="4"/>
  <c r="I175" i="4"/>
  <c r="B175" i="4"/>
  <c r="I174" i="4"/>
  <c r="B174" i="4"/>
  <c r="I173" i="4"/>
  <c r="I172" i="4"/>
  <c r="B172" i="4"/>
  <c r="I171" i="4"/>
  <c r="B171" i="4"/>
  <c r="I170" i="4"/>
  <c r="B170" i="4"/>
  <c r="I169" i="4"/>
  <c r="B169" i="4"/>
  <c r="I168" i="4"/>
  <c r="B168" i="4"/>
  <c r="I167" i="4"/>
  <c r="B167" i="4"/>
  <c r="I166" i="4"/>
  <c r="B166" i="4"/>
  <c r="I165" i="4"/>
  <c r="B165" i="4"/>
  <c r="I164" i="4"/>
  <c r="B164" i="4"/>
  <c r="I163" i="4"/>
  <c r="B163" i="4"/>
  <c r="I162" i="4"/>
  <c r="I161" i="4"/>
  <c r="B161" i="4"/>
  <c r="I160" i="4"/>
  <c r="B160" i="4"/>
  <c r="I159" i="4"/>
  <c r="B159" i="4"/>
  <c r="I158" i="4"/>
  <c r="B158" i="4"/>
  <c r="I157" i="4"/>
  <c r="B157" i="4"/>
  <c r="I156" i="4"/>
  <c r="B156" i="4"/>
  <c r="I155" i="4"/>
  <c r="B155" i="4"/>
  <c r="I154" i="4"/>
  <c r="B154" i="4"/>
  <c r="I153" i="4"/>
  <c r="B153" i="4"/>
  <c r="I152" i="4"/>
  <c r="B152" i="4"/>
  <c r="I151" i="4"/>
  <c r="B151" i="4"/>
  <c r="I150" i="4"/>
  <c r="I149" i="4"/>
  <c r="B149" i="4"/>
  <c r="I148" i="4"/>
  <c r="B148" i="4"/>
  <c r="I147" i="4"/>
  <c r="B147" i="4"/>
  <c r="I146" i="4"/>
  <c r="B146" i="4"/>
  <c r="I145" i="4"/>
  <c r="B145" i="4"/>
  <c r="I144" i="4"/>
  <c r="B144" i="4"/>
  <c r="I143" i="4"/>
  <c r="B143" i="4"/>
  <c r="I142" i="4"/>
  <c r="B142" i="4"/>
  <c r="I141" i="4"/>
  <c r="B141" i="4"/>
  <c r="I140" i="4"/>
  <c r="B140" i="4"/>
  <c r="M139" i="4"/>
  <c r="I139" i="4"/>
  <c r="B139" i="4"/>
  <c r="M138" i="4"/>
  <c r="I138" i="4"/>
  <c r="B138" i="4"/>
  <c r="M137" i="4"/>
  <c r="I137" i="4"/>
  <c r="B137" i="4"/>
  <c r="I136" i="4"/>
  <c r="I135" i="4"/>
  <c r="I134" i="4"/>
  <c r="I133" i="4"/>
  <c r="M132" i="4"/>
  <c r="I132" i="4"/>
  <c r="B132" i="4"/>
  <c r="M131" i="4"/>
  <c r="I131" i="4"/>
  <c r="B131" i="4"/>
  <c r="I130" i="4"/>
  <c r="B130" i="4"/>
  <c r="I129" i="4"/>
  <c r="B129" i="4"/>
  <c r="I128" i="4"/>
  <c r="B128" i="4"/>
  <c r="M127" i="4"/>
  <c r="I127" i="4"/>
  <c r="B127" i="4"/>
  <c r="M126" i="4"/>
  <c r="I126" i="4"/>
  <c r="B126" i="4"/>
  <c r="M125" i="4"/>
  <c r="I125" i="4"/>
  <c r="B125" i="4"/>
  <c r="I124" i="4"/>
  <c r="B124" i="4"/>
  <c r="M123" i="4"/>
  <c r="I123" i="4"/>
  <c r="I122" i="4"/>
  <c r="I121" i="4"/>
  <c r="B121" i="4"/>
  <c r="I120" i="4"/>
  <c r="B120" i="4"/>
  <c r="I119" i="4"/>
  <c r="B119" i="4"/>
  <c r="I118" i="4"/>
  <c r="B118" i="4"/>
  <c r="I117" i="4"/>
  <c r="M116" i="4"/>
  <c r="I116" i="4"/>
  <c r="B116" i="4"/>
  <c r="M115" i="4"/>
  <c r="I115" i="4"/>
  <c r="B115" i="4"/>
  <c r="M114" i="4"/>
  <c r="I114" i="4"/>
  <c r="B114" i="4"/>
  <c r="I113" i="4"/>
  <c r="B113" i="4"/>
  <c r="I112" i="4"/>
  <c r="B112" i="4"/>
  <c r="M111" i="4"/>
  <c r="I111" i="4"/>
  <c r="B111" i="4"/>
  <c r="M110" i="4"/>
  <c r="I110" i="4"/>
  <c r="B110" i="4"/>
  <c r="I109" i="4"/>
  <c r="I108" i="4"/>
  <c r="B108" i="4"/>
  <c r="M107" i="4"/>
  <c r="I107" i="4"/>
  <c r="B107" i="4"/>
  <c r="M106" i="4"/>
  <c r="I106" i="4"/>
  <c r="B106" i="4"/>
  <c r="I105" i="4"/>
  <c r="M104" i="4"/>
  <c r="I104" i="4"/>
  <c r="B104" i="4"/>
  <c r="M103" i="4"/>
  <c r="I103" i="4"/>
  <c r="B103" i="4"/>
  <c r="M102" i="4"/>
  <c r="I102" i="4"/>
  <c r="B102" i="4"/>
  <c r="I101" i="4"/>
  <c r="B101" i="4"/>
  <c r="M100" i="4"/>
  <c r="I100" i="4"/>
  <c r="B100" i="4"/>
  <c r="M99" i="4"/>
  <c r="I99" i="4"/>
  <c r="B99" i="4"/>
  <c r="M98" i="4"/>
  <c r="I98" i="4"/>
  <c r="B98" i="4"/>
  <c r="M97" i="4"/>
  <c r="I97" i="4"/>
  <c r="M96" i="4"/>
  <c r="I96" i="4"/>
  <c r="M95" i="4"/>
  <c r="I95" i="4"/>
  <c r="I94" i="4"/>
  <c r="M93" i="4"/>
  <c r="I93" i="4"/>
  <c r="B93" i="4"/>
  <c r="M92" i="4"/>
  <c r="I92" i="4"/>
  <c r="B92" i="4"/>
  <c r="M91" i="4"/>
  <c r="I91" i="4"/>
  <c r="B91" i="4"/>
  <c r="M90" i="4"/>
  <c r="I90" i="4"/>
  <c r="B90" i="4"/>
  <c r="M89" i="4"/>
  <c r="I89" i="4"/>
  <c r="B89" i="4"/>
  <c r="M88" i="4"/>
  <c r="I88" i="4"/>
  <c r="B88" i="4"/>
  <c r="M87" i="4"/>
  <c r="I87" i="4"/>
  <c r="B87" i="4"/>
  <c r="M86" i="4"/>
  <c r="I86" i="4"/>
  <c r="B86" i="4"/>
  <c r="I85" i="4"/>
  <c r="B85" i="4"/>
  <c r="I84" i="4"/>
  <c r="M83" i="4"/>
  <c r="I83" i="4"/>
  <c r="B83" i="4"/>
  <c r="I82" i="4"/>
  <c r="B82" i="4"/>
  <c r="I81" i="4"/>
  <c r="B81" i="4"/>
  <c r="M80" i="4"/>
  <c r="I80" i="4"/>
  <c r="M79" i="4"/>
  <c r="I79" i="4"/>
  <c r="I78" i="4"/>
  <c r="M77" i="4"/>
  <c r="I77" i="4"/>
  <c r="B77" i="4"/>
  <c r="M76" i="4"/>
  <c r="I76" i="4"/>
  <c r="B76" i="4"/>
  <c r="I75" i="4"/>
  <c r="B75" i="4"/>
  <c r="M74" i="4"/>
  <c r="I74" i="4"/>
  <c r="B74" i="4"/>
  <c r="M73" i="4"/>
  <c r="I73" i="4"/>
  <c r="B73" i="4"/>
  <c r="M72" i="4"/>
  <c r="I72" i="4"/>
  <c r="B72" i="4"/>
  <c r="M71" i="4"/>
  <c r="I71" i="4"/>
  <c r="B71" i="4"/>
  <c r="M70" i="4"/>
  <c r="I70" i="4"/>
  <c r="B70" i="4"/>
  <c r="M69" i="4"/>
  <c r="I69" i="4"/>
  <c r="B69" i="4"/>
  <c r="M68" i="4"/>
  <c r="I68" i="4"/>
  <c r="B68" i="4"/>
  <c r="I67" i="4"/>
  <c r="M66" i="4"/>
  <c r="I66" i="4"/>
  <c r="B66" i="4"/>
  <c r="M65" i="4"/>
  <c r="I65" i="4"/>
  <c r="B65" i="4"/>
  <c r="M64" i="4"/>
  <c r="I64" i="4"/>
  <c r="B64" i="4"/>
  <c r="M63" i="4"/>
  <c r="I63" i="4"/>
  <c r="B63" i="4"/>
  <c r="I62" i="4"/>
  <c r="B62" i="4"/>
  <c r="I61" i="4"/>
  <c r="B61" i="4"/>
  <c r="M60" i="4"/>
  <c r="I60" i="4"/>
  <c r="M59" i="4"/>
  <c r="I59" i="4"/>
  <c r="I57" i="4"/>
  <c r="M55" i="4"/>
  <c r="I55" i="4"/>
  <c r="B55" i="4"/>
  <c r="M54" i="4"/>
  <c r="I54" i="4"/>
  <c r="B54" i="4"/>
  <c r="M53" i="4"/>
  <c r="I53" i="4"/>
  <c r="B53" i="4"/>
  <c r="M52" i="4"/>
  <c r="I52" i="4"/>
  <c r="B52" i="4"/>
  <c r="M51" i="4"/>
  <c r="I51" i="4"/>
  <c r="B51" i="4"/>
  <c r="M50" i="4"/>
  <c r="I50" i="4"/>
  <c r="B50" i="4"/>
  <c r="M49" i="4"/>
  <c r="I49" i="4"/>
  <c r="B49" i="4"/>
  <c r="M48" i="4"/>
  <c r="I48" i="4"/>
  <c r="B48" i="4"/>
  <c r="M47" i="4"/>
  <c r="I47" i="4"/>
  <c r="B47" i="4"/>
  <c r="I46" i="4"/>
  <c r="M45" i="4"/>
  <c r="I45" i="4"/>
  <c r="I44" i="4"/>
  <c r="M43" i="4"/>
  <c r="I43" i="4"/>
  <c r="M42" i="4"/>
  <c r="I42" i="4"/>
  <c r="B42" i="4"/>
  <c r="M41" i="4"/>
  <c r="I41" i="4"/>
  <c r="B41" i="4"/>
  <c r="M40" i="4"/>
  <c r="I40" i="4"/>
  <c r="B40" i="4"/>
  <c r="M39" i="4"/>
  <c r="I39" i="4"/>
  <c r="B39" i="4"/>
  <c r="M38" i="4"/>
  <c r="I38" i="4"/>
  <c r="I37" i="4"/>
  <c r="M36" i="4"/>
  <c r="I36" i="4"/>
  <c r="B36" i="4"/>
  <c r="M35" i="4"/>
  <c r="I35" i="4"/>
  <c r="B35" i="4"/>
  <c r="M34" i="4"/>
  <c r="I34" i="4"/>
  <c r="B34" i="4"/>
  <c r="M33" i="4"/>
  <c r="I33" i="4"/>
  <c r="B33" i="4"/>
  <c r="M32" i="4"/>
  <c r="I32" i="4"/>
  <c r="B32" i="4"/>
  <c r="M31" i="4"/>
  <c r="I31" i="4"/>
  <c r="B31" i="4"/>
  <c r="M30" i="4"/>
  <c r="I30" i="4"/>
  <c r="B30" i="4"/>
  <c r="M29" i="4"/>
  <c r="I29" i="4"/>
  <c r="B29" i="4"/>
  <c r="I28" i="4"/>
  <c r="B28" i="4"/>
  <c r="M27" i="4"/>
  <c r="I27" i="4"/>
  <c r="M26" i="4"/>
  <c r="I26" i="4"/>
  <c r="B26" i="4"/>
  <c r="M25" i="4"/>
  <c r="I25" i="4"/>
  <c r="B25" i="4"/>
  <c r="I24" i="4"/>
  <c r="B24" i="4"/>
  <c r="I23" i="4"/>
  <c r="B23" i="4"/>
  <c r="M22" i="4"/>
  <c r="I22" i="4"/>
  <c r="B22" i="4"/>
  <c r="I21" i="4"/>
  <c r="B21" i="4"/>
  <c r="I20" i="4"/>
  <c r="B20" i="4"/>
  <c r="M19" i="4"/>
  <c r="I19" i="4"/>
  <c r="M18" i="4"/>
  <c r="I18" i="4"/>
  <c r="M17" i="4"/>
  <c r="I17" i="4"/>
  <c r="M16" i="4"/>
  <c r="I16" i="4"/>
  <c r="B16" i="4"/>
  <c r="M15" i="4"/>
  <c r="I15" i="4"/>
  <c r="B15" i="4"/>
  <c r="M14" i="4"/>
  <c r="I14" i="4"/>
  <c r="B14" i="4"/>
  <c r="M13" i="4"/>
  <c r="I13" i="4"/>
  <c r="B13" i="4"/>
  <c r="M12" i="4"/>
  <c r="I12" i="4"/>
  <c r="B12" i="4"/>
  <c r="M11" i="4"/>
  <c r="I11" i="4"/>
  <c r="B11" i="4"/>
  <c r="M10" i="4"/>
  <c r="I10" i="4"/>
  <c r="B10" i="4"/>
  <c r="M9" i="4"/>
  <c r="I9" i="4"/>
  <c r="B9" i="4"/>
  <c r="M8" i="4"/>
  <c r="I8" i="4"/>
  <c r="B8" i="4"/>
  <c r="M7" i="4"/>
  <c r="I7" i="4"/>
  <c r="M6" i="4"/>
  <c r="I6" i="4"/>
  <c r="I5" i="4"/>
  <c r="M4" i="4"/>
  <c r="I4" i="4"/>
  <c r="M3" i="4"/>
  <c r="I3" i="4"/>
  <c r="M2" i="4"/>
  <c r="L2" i="4"/>
  <c r="K2" i="4"/>
  <c r="C2" i="4"/>
  <c r="G2" i="4" s="1"/>
  <c r="I250" i="3"/>
  <c r="B250" i="3"/>
  <c r="I249" i="3"/>
  <c r="B249" i="3"/>
  <c r="I248" i="3"/>
  <c r="B248" i="3"/>
  <c r="I247" i="3"/>
  <c r="B247" i="3"/>
  <c r="I246" i="3"/>
  <c r="B246" i="3"/>
  <c r="I245" i="3"/>
  <c r="B245" i="3"/>
  <c r="I244" i="3"/>
  <c r="B244" i="3"/>
  <c r="I243" i="3"/>
  <c r="B243" i="3"/>
  <c r="I242" i="3"/>
  <c r="I241" i="3"/>
  <c r="B241" i="3"/>
  <c r="I240" i="3"/>
  <c r="B240" i="3"/>
  <c r="I239" i="3"/>
  <c r="B239" i="3"/>
  <c r="I238" i="3"/>
  <c r="B238" i="3"/>
  <c r="I237" i="3"/>
  <c r="B237" i="3"/>
  <c r="I236" i="3"/>
  <c r="B236" i="3"/>
  <c r="I235" i="3"/>
  <c r="B235" i="3"/>
  <c r="I234" i="3"/>
  <c r="B234" i="3"/>
  <c r="I233" i="3"/>
  <c r="B233" i="3"/>
  <c r="I232" i="3"/>
  <c r="B232" i="3"/>
  <c r="I231" i="3"/>
  <c r="I230" i="3"/>
  <c r="B230" i="3"/>
  <c r="I229" i="3"/>
  <c r="B229" i="3"/>
  <c r="I228" i="3"/>
  <c r="B228" i="3"/>
  <c r="I227" i="3"/>
  <c r="B227" i="3"/>
  <c r="I226" i="3"/>
  <c r="B226" i="3"/>
  <c r="I225" i="3"/>
  <c r="B225" i="3"/>
  <c r="I224" i="3"/>
  <c r="B224" i="3"/>
  <c r="I223" i="3"/>
  <c r="B223" i="3"/>
  <c r="I222" i="3"/>
  <c r="B222" i="3"/>
  <c r="I221" i="3"/>
  <c r="B221" i="3"/>
  <c r="I220" i="3"/>
  <c r="I219" i="3"/>
  <c r="B219" i="3"/>
  <c r="I218" i="3"/>
  <c r="B218" i="3"/>
  <c r="I217" i="3"/>
  <c r="B217" i="3"/>
  <c r="I216" i="3"/>
  <c r="B216" i="3"/>
  <c r="I215" i="3"/>
  <c r="B215" i="3"/>
  <c r="I214" i="3"/>
  <c r="B214" i="3"/>
  <c r="I213" i="3"/>
  <c r="B213" i="3"/>
  <c r="I212" i="3"/>
  <c r="B212" i="3"/>
  <c r="I211" i="3"/>
  <c r="B211" i="3"/>
  <c r="I210" i="3"/>
  <c r="B210" i="3"/>
  <c r="I209" i="3"/>
  <c r="I208" i="3"/>
  <c r="B208" i="3"/>
  <c r="I207" i="3"/>
  <c r="B207" i="3"/>
  <c r="I206" i="3"/>
  <c r="B206" i="3"/>
  <c r="I205" i="3"/>
  <c r="B205" i="3"/>
  <c r="I204" i="3"/>
  <c r="B204" i="3"/>
  <c r="I203" i="3"/>
  <c r="B203" i="3"/>
  <c r="I202" i="3"/>
  <c r="B202" i="3"/>
  <c r="I201" i="3"/>
  <c r="B201" i="3"/>
  <c r="I200" i="3"/>
  <c r="B200" i="3"/>
  <c r="I199" i="3"/>
  <c r="B199" i="3"/>
  <c r="I198" i="3"/>
  <c r="I197" i="3"/>
  <c r="B197" i="3"/>
  <c r="I196" i="3"/>
  <c r="B196" i="3"/>
  <c r="I195" i="3"/>
  <c r="B195" i="3"/>
  <c r="I194" i="3"/>
  <c r="B194" i="3"/>
  <c r="I193" i="3"/>
  <c r="B193" i="3"/>
  <c r="I192" i="3"/>
  <c r="B192" i="3"/>
  <c r="I191" i="3"/>
  <c r="B191" i="3"/>
  <c r="I190" i="3"/>
  <c r="B190" i="3"/>
  <c r="I189" i="3"/>
  <c r="B189" i="3"/>
  <c r="I188" i="3"/>
  <c r="B188" i="3"/>
  <c r="I187" i="3"/>
  <c r="I186" i="3"/>
  <c r="B186" i="3"/>
  <c r="I185" i="3"/>
  <c r="B185" i="3"/>
  <c r="I184" i="3"/>
  <c r="B184" i="3"/>
  <c r="I183" i="3"/>
  <c r="B183" i="3"/>
  <c r="I182" i="3"/>
  <c r="B182" i="3"/>
  <c r="I181" i="3"/>
  <c r="B181" i="3"/>
  <c r="I180" i="3"/>
  <c r="B180" i="3"/>
  <c r="I179" i="3"/>
  <c r="B179" i="3"/>
  <c r="I178" i="3"/>
  <c r="B178" i="3"/>
  <c r="I177" i="3"/>
  <c r="B177" i="3"/>
  <c r="I176" i="3"/>
  <c r="I175" i="3"/>
  <c r="B175" i="3"/>
  <c r="I174" i="3"/>
  <c r="B174" i="3"/>
  <c r="I173" i="3"/>
  <c r="B173" i="3"/>
  <c r="I172" i="3"/>
  <c r="B172" i="3"/>
  <c r="I171" i="3"/>
  <c r="B171" i="3"/>
  <c r="I170" i="3"/>
  <c r="B170" i="3"/>
  <c r="I169" i="3"/>
  <c r="B169" i="3"/>
  <c r="I168" i="3"/>
  <c r="B168" i="3"/>
  <c r="I167" i="3"/>
  <c r="B167" i="3"/>
  <c r="I166" i="3"/>
  <c r="I165" i="3"/>
  <c r="B165" i="3"/>
  <c r="I164" i="3"/>
  <c r="B164" i="3"/>
  <c r="I163" i="3"/>
  <c r="B163" i="3"/>
  <c r="I162" i="3"/>
  <c r="B162" i="3"/>
  <c r="I161" i="3"/>
  <c r="B161" i="3"/>
  <c r="I160" i="3"/>
  <c r="B160" i="3"/>
  <c r="I159" i="3"/>
  <c r="B159" i="3"/>
  <c r="I158" i="3"/>
  <c r="B158" i="3"/>
  <c r="I157" i="3"/>
  <c r="B157" i="3"/>
  <c r="I156" i="3"/>
  <c r="B156" i="3"/>
  <c r="I155" i="3"/>
  <c r="I154" i="3"/>
  <c r="B154" i="3"/>
  <c r="I153" i="3"/>
  <c r="B153" i="3"/>
  <c r="I152" i="3"/>
  <c r="B152" i="3"/>
  <c r="I151" i="3"/>
  <c r="B151" i="3"/>
  <c r="I150" i="3"/>
  <c r="B150" i="3"/>
  <c r="I149" i="3"/>
  <c r="B149" i="3"/>
  <c r="I148" i="3"/>
  <c r="B148" i="3"/>
  <c r="I147" i="3"/>
  <c r="B147" i="3"/>
  <c r="I146" i="3"/>
  <c r="B146" i="3"/>
  <c r="I145" i="3"/>
  <c r="B145" i="3"/>
  <c r="I144" i="3"/>
  <c r="I143" i="3"/>
  <c r="B143" i="3"/>
  <c r="I142" i="3"/>
  <c r="B142" i="3"/>
  <c r="I141" i="3"/>
  <c r="B141" i="3"/>
  <c r="I140" i="3"/>
  <c r="B140" i="3"/>
  <c r="I139" i="3"/>
  <c r="B139" i="3"/>
  <c r="I138" i="3"/>
  <c r="B138" i="3"/>
  <c r="I137" i="3"/>
  <c r="B137" i="3"/>
  <c r="I136" i="3"/>
  <c r="B136" i="3"/>
  <c r="I135" i="3"/>
  <c r="B135" i="3"/>
  <c r="I134" i="3"/>
  <c r="B134" i="3"/>
  <c r="M133" i="3"/>
  <c r="I133" i="3"/>
  <c r="B133" i="3"/>
  <c r="M132" i="3"/>
  <c r="I132" i="3"/>
  <c r="B132" i="3"/>
  <c r="M131" i="3"/>
  <c r="I131" i="3"/>
  <c r="B131" i="3"/>
  <c r="M130" i="3"/>
  <c r="I130" i="3"/>
  <c r="B130" i="3"/>
  <c r="M129" i="3"/>
  <c r="I129" i="3"/>
  <c r="B129" i="3"/>
  <c r="M128" i="3"/>
  <c r="I128" i="3"/>
  <c r="B128" i="3"/>
  <c r="M127" i="3"/>
  <c r="I127" i="3"/>
  <c r="B127" i="3"/>
  <c r="M126" i="3"/>
  <c r="I126" i="3"/>
  <c r="B126" i="3"/>
  <c r="M125" i="3"/>
  <c r="I125" i="3"/>
  <c r="B125" i="3"/>
  <c r="M124" i="3"/>
  <c r="I124" i="3"/>
  <c r="B124" i="3"/>
  <c r="I123" i="3"/>
  <c r="I122" i="3"/>
  <c r="I121" i="3"/>
  <c r="M120" i="3"/>
  <c r="I120" i="3"/>
  <c r="B120" i="3"/>
  <c r="I119" i="3"/>
  <c r="B119" i="3"/>
  <c r="M118" i="3"/>
  <c r="I118" i="3"/>
  <c r="B118" i="3"/>
  <c r="M117" i="3"/>
  <c r="I117" i="3"/>
  <c r="B117" i="3"/>
  <c r="M116" i="3"/>
  <c r="I116" i="3"/>
  <c r="I115" i="3"/>
  <c r="I114" i="3"/>
  <c r="B114" i="3"/>
  <c r="M113" i="3"/>
  <c r="I113" i="3"/>
  <c r="B113" i="3"/>
  <c r="M112" i="3"/>
  <c r="I112" i="3"/>
  <c r="B112" i="3"/>
  <c r="M111" i="3"/>
  <c r="I111" i="3"/>
  <c r="B111" i="3"/>
  <c r="M110" i="3"/>
  <c r="I110" i="3"/>
  <c r="B110" i="3"/>
  <c r="M109" i="3"/>
  <c r="I109" i="3"/>
  <c r="B109" i="3"/>
  <c r="M108" i="3"/>
  <c r="I108" i="3"/>
  <c r="B108" i="3"/>
  <c r="M107" i="3"/>
  <c r="I107" i="3"/>
  <c r="B107" i="3"/>
  <c r="M106" i="3"/>
  <c r="I106" i="3"/>
  <c r="B106" i="3"/>
  <c r="M105" i="3"/>
  <c r="I105" i="3"/>
  <c r="B105" i="3"/>
  <c r="M104" i="3"/>
  <c r="I104" i="3"/>
  <c r="B104" i="3"/>
  <c r="M103" i="3"/>
  <c r="I103" i="3"/>
  <c r="B103" i="3"/>
  <c r="M102" i="3"/>
  <c r="I102" i="3"/>
  <c r="B102" i="3"/>
  <c r="M101" i="3"/>
  <c r="I101" i="3"/>
  <c r="B101" i="3"/>
  <c r="M100" i="3"/>
  <c r="I100" i="3"/>
  <c r="B100" i="3"/>
  <c r="I99" i="3"/>
  <c r="M98" i="3"/>
  <c r="I98" i="3"/>
  <c r="B98" i="3"/>
  <c r="I97" i="3"/>
  <c r="B97" i="3"/>
  <c r="M96" i="3"/>
  <c r="I96" i="3"/>
  <c r="B96" i="3"/>
  <c r="M95" i="3"/>
  <c r="I95" i="3"/>
  <c r="B95" i="3"/>
  <c r="I94" i="3"/>
  <c r="B94" i="3"/>
  <c r="I93" i="3"/>
  <c r="B93" i="3"/>
  <c r="M92" i="3"/>
  <c r="I92" i="3"/>
  <c r="M91" i="3"/>
  <c r="I91" i="3"/>
  <c r="M90" i="3"/>
  <c r="I90" i="3"/>
  <c r="I89" i="3"/>
  <c r="M88" i="3"/>
  <c r="I88" i="3"/>
  <c r="B88" i="3"/>
  <c r="M87" i="3"/>
  <c r="I87" i="3"/>
  <c r="B87" i="3"/>
  <c r="M86" i="3"/>
  <c r="I86" i="3"/>
  <c r="B86" i="3"/>
  <c r="M85" i="3"/>
  <c r="I85" i="3"/>
  <c r="B85" i="3"/>
  <c r="M84" i="3"/>
  <c r="I84" i="3"/>
  <c r="B84" i="3"/>
  <c r="M83" i="3"/>
  <c r="I83" i="3"/>
  <c r="B83" i="3"/>
  <c r="M82" i="3"/>
  <c r="I82" i="3"/>
  <c r="B82" i="3"/>
  <c r="M81" i="3"/>
  <c r="I81" i="3"/>
  <c r="B81" i="3"/>
  <c r="M80" i="3"/>
  <c r="I80" i="3"/>
  <c r="B80" i="3"/>
  <c r="M79" i="3"/>
  <c r="I79" i="3"/>
  <c r="B79" i="3"/>
  <c r="M78" i="3"/>
  <c r="I78" i="3"/>
  <c r="B78" i="3"/>
  <c r="M77" i="3"/>
  <c r="I77" i="3"/>
  <c r="B77" i="3"/>
  <c r="M76" i="3"/>
  <c r="I76" i="3"/>
  <c r="B76" i="3"/>
  <c r="M75" i="3"/>
  <c r="I75" i="3"/>
  <c r="B75" i="3"/>
  <c r="I74" i="3"/>
  <c r="M73" i="3"/>
  <c r="I73" i="3"/>
  <c r="B73" i="3"/>
  <c r="M72" i="3"/>
  <c r="I72" i="3"/>
  <c r="B72" i="3"/>
  <c r="M71" i="3"/>
  <c r="I71" i="3"/>
  <c r="B71" i="3"/>
  <c r="M70" i="3"/>
  <c r="I70" i="3"/>
  <c r="M69" i="3"/>
  <c r="I69" i="3"/>
  <c r="B69" i="3"/>
  <c r="M68" i="3"/>
  <c r="I68" i="3"/>
  <c r="B68" i="3"/>
  <c r="M67" i="3"/>
  <c r="I67" i="3"/>
  <c r="B67" i="3"/>
  <c r="M66" i="3"/>
  <c r="I66" i="3"/>
  <c r="M65" i="3"/>
  <c r="I65" i="3"/>
  <c r="I64" i="3"/>
  <c r="M63" i="3"/>
  <c r="I63" i="3"/>
  <c r="B63" i="3"/>
  <c r="M62" i="3"/>
  <c r="I62" i="3"/>
  <c r="B62" i="3"/>
  <c r="M61" i="3"/>
  <c r="I61" i="3"/>
  <c r="B61" i="3"/>
  <c r="M60" i="3"/>
  <c r="I60" i="3"/>
  <c r="B60" i="3"/>
  <c r="I59" i="3"/>
  <c r="B59" i="3"/>
  <c r="M58" i="3"/>
  <c r="I58" i="3"/>
  <c r="B58" i="3"/>
  <c r="M57" i="3"/>
  <c r="I57" i="3"/>
  <c r="B57" i="3"/>
  <c r="M56" i="3"/>
  <c r="I56" i="3"/>
  <c r="B56" i="3"/>
  <c r="I55" i="3"/>
  <c r="M54" i="3"/>
  <c r="I54" i="3"/>
  <c r="B54" i="3"/>
  <c r="M53" i="3"/>
  <c r="I53" i="3"/>
  <c r="B53" i="3"/>
  <c r="M52" i="3"/>
  <c r="I52" i="3"/>
  <c r="B52" i="3"/>
  <c r="M51" i="3"/>
  <c r="I51" i="3"/>
  <c r="B51" i="3"/>
  <c r="M50" i="3"/>
  <c r="I50" i="3"/>
  <c r="B50" i="3"/>
  <c r="M49" i="3"/>
  <c r="I49" i="3"/>
  <c r="B49" i="3"/>
  <c r="M47" i="3"/>
  <c r="I47" i="3"/>
  <c r="M46" i="3"/>
  <c r="I46" i="3"/>
  <c r="I44" i="3"/>
  <c r="B44" i="3"/>
  <c r="M43" i="3"/>
  <c r="I43" i="3"/>
  <c r="B43" i="3"/>
  <c r="M42" i="3"/>
  <c r="I42" i="3"/>
  <c r="B42" i="3"/>
  <c r="M41" i="3"/>
  <c r="I41" i="3"/>
  <c r="B41" i="3"/>
  <c r="M40" i="3"/>
  <c r="I40" i="3"/>
  <c r="B40" i="3"/>
  <c r="M39" i="3"/>
  <c r="I39" i="3"/>
  <c r="B39" i="3"/>
  <c r="M38" i="3"/>
  <c r="I38" i="3"/>
  <c r="B38" i="3"/>
  <c r="M37" i="3"/>
  <c r="I37" i="3"/>
  <c r="B37" i="3"/>
  <c r="I36" i="3"/>
  <c r="B36" i="3"/>
  <c r="M35" i="3"/>
  <c r="I35" i="3"/>
  <c r="B35" i="3"/>
  <c r="M34" i="3"/>
  <c r="I34" i="3"/>
  <c r="B34" i="3"/>
  <c r="M33" i="3"/>
  <c r="I33" i="3"/>
  <c r="B33" i="3"/>
  <c r="M32" i="3"/>
  <c r="I32" i="3"/>
  <c r="B32" i="3"/>
  <c r="M31" i="3"/>
  <c r="I31" i="3"/>
  <c r="M29" i="3"/>
  <c r="I29" i="3"/>
  <c r="B29" i="3"/>
  <c r="I28" i="3"/>
  <c r="B28" i="3"/>
  <c r="I27" i="3"/>
  <c r="B27" i="3"/>
  <c r="M26" i="3"/>
  <c r="I26" i="3"/>
  <c r="B26" i="3"/>
  <c r="M25" i="3"/>
  <c r="I25" i="3"/>
  <c r="B25" i="3"/>
  <c r="I24" i="3"/>
  <c r="B24" i="3"/>
  <c r="M23" i="3"/>
  <c r="I23" i="3"/>
  <c r="B23" i="3"/>
  <c r="M22" i="3"/>
  <c r="I22" i="3"/>
  <c r="B22" i="3"/>
  <c r="M21" i="3"/>
  <c r="I21" i="3"/>
  <c r="B21" i="3"/>
  <c r="I20" i="3"/>
  <c r="B20" i="3"/>
  <c r="M19" i="3"/>
  <c r="I19" i="3"/>
  <c r="B19" i="3"/>
  <c r="I18" i="3"/>
  <c r="B18" i="3"/>
  <c r="M17" i="3"/>
  <c r="I17" i="3"/>
  <c r="B17" i="3"/>
  <c r="M16" i="3"/>
  <c r="I16" i="3"/>
  <c r="B16" i="3"/>
  <c r="I15" i="3"/>
  <c r="I14" i="3"/>
  <c r="I13" i="3"/>
  <c r="I12" i="3"/>
  <c r="B12" i="3"/>
  <c r="M11" i="3"/>
  <c r="I11" i="3"/>
  <c r="B11" i="3"/>
  <c r="M10" i="3"/>
  <c r="I10" i="3"/>
  <c r="M9" i="3"/>
  <c r="I9" i="3"/>
  <c r="I8" i="3"/>
  <c r="I7" i="3"/>
  <c r="I6" i="3"/>
  <c r="I5" i="3"/>
  <c r="I4" i="3"/>
  <c r="I3" i="3"/>
  <c r="M2" i="3"/>
  <c r="L2" i="3"/>
  <c r="K2" i="3"/>
  <c r="C2" i="3"/>
  <c r="H2" i="3" s="1"/>
  <c r="B73" i="1"/>
  <c r="B71" i="1"/>
  <c r="B70" i="1"/>
  <c r="B69" i="1"/>
  <c r="B68" i="1"/>
  <c r="B62" i="1"/>
  <c r="B61" i="1"/>
  <c r="B60" i="1"/>
  <c r="B59" i="1"/>
  <c r="B55" i="1"/>
  <c r="B48" i="1"/>
  <c r="B9" i="1"/>
  <c r="E3" i="1"/>
  <c r="G2" i="3" l="1"/>
  <c r="I2" i="3"/>
  <c r="D2" i="9"/>
  <c r="J2" i="6"/>
  <c r="H2" i="4"/>
  <c r="G2" i="9"/>
  <c r="I2" i="4"/>
  <c r="G2" i="10"/>
  <c r="H2" i="7"/>
  <c r="H2" i="10"/>
  <c r="E2" i="5"/>
  <c r="F2" i="5"/>
  <c r="H2" i="5"/>
  <c r="H2" i="6"/>
  <c r="F2" i="10"/>
  <c r="G2" i="7"/>
  <c r="H2" i="9"/>
  <c r="I2" i="9"/>
  <c r="I2" i="7"/>
  <c r="D2" i="8"/>
  <c r="J2" i="9"/>
  <c r="I2" i="10"/>
  <c r="J2" i="10"/>
  <c r="D2" i="5"/>
  <c r="F2" i="3"/>
  <c r="G2" i="5"/>
  <c r="D2" i="4"/>
  <c r="F2" i="7"/>
  <c r="J2" i="4"/>
  <c r="J2" i="7"/>
  <c r="E2" i="8"/>
  <c r="J2" i="3"/>
  <c r="F2" i="4"/>
  <c r="J2" i="5"/>
  <c r="I2" i="6"/>
  <c r="D2" i="7"/>
  <c r="E2" i="9"/>
  <c r="D2" i="10"/>
  <c r="D2" i="3"/>
  <c r="D2" i="6"/>
  <c r="F2" i="6"/>
  <c r="E2" i="4"/>
  <c r="E2"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16" authorId="0" shapeId="0" xr:uid="{00000000-0006-0000-0400-000001000000}">
      <text>
        <r>
          <rPr>
            <sz val="10"/>
            <color rgb="FF000000"/>
            <rFont val="Arial"/>
          </rPr>
          <t>Google first Goldbach's conjecture</t>
        </r>
      </text>
    </comment>
    <comment ref="M16" authorId="0" shapeId="0" xr:uid="{00000000-0006-0000-0400-000002000000}">
      <text>
        <r>
          <rPr>
            <sz val="10"/>
            <color rgb="FF000000"/>
            <rFont val="Arial"/>
          </rPr>
          <t>Or shorter: 
http://naivered.github.io/2016/07/03/Problem_Solving/UVa/UVa-10168-Summation-of-Four-Primes/</t>
        </r>
      </text>
    </comment>
    <comment ref="M17" authorId="0" shapeId="0" xr:uid="{00000000-0006-0000-0400-000003000000}">
      <text>
        <r>
          <rPr>
            <sz val="10"/>
            <color rgb="FF000000"/>
            <rFont val="Arial"/>
          </rPr>
          <t>Or shorter: 
https://github.com/ilyesLtifi/Competitive-Programming/blob/master/UVA/UVA%2010325.cpp</t>
        </r>
      </text>
    </comment>
    <comment ref="M75" authorId="0" shapeId="0" xr:uid="{00000000-0006-0000-0400-000004000000}">
      <text>
        <r>
          <rPr>
            <sz val="10"/>
            <color rgb="FF000000"/>
            <rFont val="Arial"/>
          </rPr>
          <t>Summary
This is a simple Simulation problem. There should be more than enough time to pass.
Explanation
Things to think about include deciding what data structure to use and how to find where each block is. Since the main operations are deletion, insertion, and splicing, linked lists are a good choice. You can also use a lookup table for keeping track of where each block is, as long as you update it for each operation.
In this problem using modularity really helps; create a function for each of the different move/pile operations and one other for printing. This way you can make sure each of the individual operations is done correctly instead of trying to find a bug amongst your whole program.
Gotchas
Illegal commands are to be ignored:
Those where a = b.
Those with a and b in the same stack.
The problem statement is incorrect - to avoid Presentation Error, there is no space before the single-digit numbers: check the below output.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M770" authorId="0" shapeId="0" xr:uid="{00000000-0006-0000-0900-000001000000}">
      <text>
        <r>
          <rPr>
            <sz val="10"/>
            <color rgb="FF000000"/>
            <rFont val="Arial"/>
          </rPr>
          <t>Or shorter: 
https://github.com/ilyesLtifi/Competitive-Programming/blob/master/UVA/UVA%2010325.cpp</t>
        </r>
      </text>
    </comment>
    <comment ref="B824" authorId="0" shapeId="0" xr:uid="{00000000-0006-0000-0900-000002000000}">
      <text>
        <r>
          <rPr>
            <sz val="10"/>
            <color rgb="FF000000"/>
            <rFont val="Arial"/>
          </rPr>
          <t>Google first Goldbach's conjecture</t>
        </r>
      </text>
    </comment>
    <comment ref="M824" authorId="0" shapeId="0" xr:uid="{00000000-0006-0000-0900-000003000000}">
      <text>
        <r>
          <rPr>
            <sz val="10"/>
            <color rgb="FF000000"/>
            <rFont val="Arial"/>
          </rPr>
          <t>Or shorter: http://naivered.github.io/2016/07/03/Problem_Solving/UVa/UVa-10168-Summation-of-Four-Primes/</t>
        </r>
      </text>
    </comment>
    <comment ref="M868" authorId="0" shapeId="0" xr:uid="{00000000-0006-0000-0900-000004000000}">
      <text>
        <r>
          <rPr>
            <sz val="10"/>
            <color rgb="FF000000"/>
            <rFont val="Arial"/>
          </rPr>
          <t>Summary
This is a simple Simulation problem. There should be more than enough time to pass.
Explanation
Things to think about include deciding what data structure to use and how to find where each block is. Since the main operations are deletion, insertion, and splicing, linked lists are a good choice. You can also use a lookup table for keeping track of where each block is, as long as you update it for each operation.
In this problem using modularity really helps; create a function for each of the different move/pile operations and one other for printing. This way you can make sure each of the individual operations is done correctly instead of trying to find a bug amongst your whole program.
Gotchas
Illegal commands are to be ignored:
Those where a = b.
Those with a and b in the same stack.
The problem statement is incorrect - to avoid Presentation Error, there is no space before the single-digit numbers: check the below output.</t>
        </r>
      </text>
    </comment>
  </commentList>
</comments>
</file>

<file path=xl/sharedStrings.xml><?xml version="1.0" encoding="utf-8"?>
<sst xmlns="http://schemas.openxmlformats.org/spreadsheetml/2006/main" count="3635" uniqueCount="1863">
  <si>
    <t>Problem Solving Sheet</t>
  </si>
  <si>
    <r>
      <rPr>
        <sz val="10"/>
        <rFont val="Arial"/>
      </rPr>
      <t xml:space="preserve">This google sheet is created by </t>
    </r>
    <r>
      <rPr>
        <b/>
        <sz val="10"/>
        <rFont val="Arial"/>
      </rPr>
      <t>Dr Mostafa Saad Ibrahim</t>
    </r>
    <r>
      <rPr>
        <sz val="10"/>
        <rFont val="Arial"/>
      </rPr>
      <t xml:space="preserve">. Overall </t>
    </r>
    <r>
      <rPr>
        <b/>
        <sz val="10"/>
        <rFont val="Arial"/>
      </rPr>
      <t>~950</t>
    </r>
    <r>
      <rPr>
        <sz val="10"/>
        <rFont val="Arial"/>
      </rPr>
      <t xml:space="preserve"> problems for </t>
    </r>
    <r>
      <rPr>
        <b/>
        <sz val="10"/>
        <rFont val="Arial"/>
      </rPr>
      <t>newcomers</t>
    </r>
    <r>
      <rPr>
        <sz val="10"/>
        <rFont val="Arial"/>
      </rPr>
      <t xml:space="preserve"> to problem solving.</t>
    </r>
  </si>
  <si>
    <t>The goal of this sheet is to enhance algorthmic probem solving skills for both programming competitions and interviws preparations</t>
  </si>
  <si>
    <r>
      <rPr>
        <sz val="10"/>
        <rFont val="Arial"/>
      </rPr>
      <t xml:space="preserve">Currenet Version </t>
    </r>
    <r>
      <rPr>
        <b/>
        <sz val="10"/>
        <rFont val="Arial"/>
      </rPr>
      <t>V7.0</t>
    </r>
  </si>
  <si>
    <r>
      <rPr>
        <b/>
        <sz val="10"/>
        <rFont val="Arial"/>
      </rPr>
      <t xml:space="preserve">This is read-access only file. Read line 31 to create your </t>
    </r>
    <r>
      <rPr>
        <b/>
        <sz val="10"/>
        <color rgb="FF0000FF"/>
        <rFont val="Arial"/>
      </rPr>
      <t>OWN COPY</t>
    </r>
    <r>
      <rPr>
        <b/>
        <sz val="10"/>
        <rFont val="Arial"/>
      </rPr>
      <t>.</t>
    </r>
  </si>
  <si>
    <t>mostafa.saad.fci@gmail.com</t>
  </si>
  <si>
    <t>Site</t>
  </si>
  <si>
    <t>To understand the sheet, watch these videos</t>
  </si>
  <si>
    <t>English Speakers</t>
  </si>
  <si>
    <r>
      <rPr>
        <u/>
        <sz val="10"/>
        <color rgb="FF1155CC"/>
        <rFont val="Arial"/>
      </rPr>
      <t>New Video explaining the sheet</t>
    </r>
    <r>
      <rPr>
        <u/>
        <sz val="10"/>
        <color rgb="FF000000"/>
        <rFont val="Arial"/>
      </rPr>
      <t xml:space="preserve"> (Arabic)</t>
    </r>
  </si>
  <si>
    <r>
      <rPr>
        <sz val="10"/>
        <rFont val="Arial"/>
      </rPr>
      <t xml:space="preserve">To know how an online judge work: watch 2 </t>
    </r>
    <r>
      <rPr>
        <u/>
        <sz val="10"/>
        <color rgb="FF1155CC"/>
        <rFont val="Arial"/>
      </rPr>
      <t>videos</t>
    </r>
    <r>
      <rPr>
        <sz val="10"/>
        <rFont val="Arial"/>
      </rPr>
      <t xml:space="preserve"> Online Judge and Codeforces. In near future, finish all of it</t>
    </r>
  </si>
  <si>
    <r>
      <rPr>
        <u/>
        <sz val="10"/>
        <color rgb="FF1155CC"/>
        <rFont val="Arial"/>
      </rPr>
      <t xml:space="preserve">Once you are </t>
    </r>
    <r>
      <rPr>
        <b/>
        <u/>
        <sz val="10"/>
        <color rgb="FF1155CC"/>
        <rFont val="Arial"/>
      </rPr>
      <t>DONE</t>
    </r>
    <r>
      <rPr>
        <u/>
        <sz val="10"/>
        <color rgb="FF1155CC"/>
        <rFont val="Arial"/>
      </rPr>
      <t xml:space="preserve"> with this sheet, utilize this supervision general pool or use it for ider topics-based training</t>
    </r>
  </si>
  <si>
    <t xml:space="preserve">For guys with interest only in preparing for interviews NOT competitiotns, use this sheet </t>
  </si>
  <si>
    <t>Interviews</t>
  </si>
  <si>
    <t>Prerequisites?</t>
  </si>
  <si>
    <t>Programming skills with prefreed ad-hoc problem solving styles (see udemy course below)</t>
  </si>
  <si>
    <t>Any language, but C++ is the most prefrred.</t>
  </si>
  <si>
    <r>
      <rPr>
        <b/>
        <sz val="12"/>
        <rFont val="Arial"/>
      </rPr>
      <t xml:space="preserve">My Relevant 
</t>
    </r>
    <r>
      <rPr>
        <b/>
        <sz val="12"/>
        <color rgb="FF0000FF"/>
        <rFont val="Arial"/>
      </rPr>
      <t>UDEMY</t>
    </r>
    <r>
      <rPr>
        <b/>
        <sz val="12"/>
        <rFont val="Arial"/>
      </rPr>
      <t xml:space="preserve"> courses</t>
    </r>
  </si>
  <si>
    <t>Coupons</t>
  </si>
  <si>
    <t>Mastering 4 critical SKILLS using C++ 17</t>
  </si>
  <si>
    <t>Specifically content till project #3</t>
  </si>
  <si>
    <t xml:space="preserve">Mastering critical SKILLS in Data Structures using C++ </t>
  </si>
  <si>
    <r>
      <rPr>
        <b/>
        <u/>
        <sz val="12"/>
        <color rgb="FF1155CC"/>
        <rFont val="Arial"/>
      </rPr>
      <t xml:space="preserve">Mastering critical SKILLS for </t>
    </r>
    <r>
      <rPr>
        <b/>
        <u/>
        <sz val="12"/>
        <color rgb="FF1155CC"/>
        <rFont val="Arial"/>
      </rPr>
      <t>Algorithms</t>
    </r>
    <r>
      <rPr>
        <b/>
        <u/>
        <sz val="12"/>
        <color rgb="FF1155CC"/>
        <rFont val="Arial"/>
      </rPr>
      <t xml:space="preserve"> in C++</t>
    </r>
  </si>
  <si>
    <t>Mastering critical SKILLS for Coding Interviews</t>
  </si>
  <si>
    <t>Mastering 4 critical SKILLS using Python</t>
  </si>
  <si>
    <t>Discord Channel</t>
  </si>
  <si>
    <t>Read the rules. Interact with others</t>
  </si>
  <si>
    <t>What is this Sheet?</t>
  </si>
  <si>
    <t>- Complete and consistent roadmap for newcomers: What to solve &amp; algorithms to learn in order
- In the bottom row, there are different sheet pages such as Faq, Topics, C2
- C1, C2 are (Codeforces Div2 C problems (or similar level from other OJs), but from easy to hard). Same for D1, D2, D3
- Covering most of topics needed up to codeforces Div2-D
- Problems of scales 1 - 5.5 / 10 + Few harder ones
- Problems increase in difficulty per topic with intermediate easy/medium problems + ad-hoc problems
- Speed problems to maintain speed goals
- A lot of recorded videos for problems solutions, especially for the entry levels (Arabic)
- Several students followed its order and managed to solve by themselves 95% of it (up to his current sheet page)
- Where are the problems? In the bottom of the sheet find Tabs: A, B, ...and so on</t>
  </si>
  <si>
    <t>How to train?</t>
  </si>
  <si>
    <r>
      <rPr>
        <sz val="10"/>
        <rFont val="Arial"/>
      </rPr>
      <t xml:space="preserve">- You can train in one of the following ways:
- A) </t>
    </r>
    <r>
      <rPr>
        <b/>
        <sz val="10"/>
        <rFont val="Arial"/>
      </rPr>
      <t>Blind-Order training style</t>
    </r>
    <r>
      <rPr>
        <sz val="10"/>
        <rFont val="Arial"/>
      </rPr>
      <t xml:space="preserve">
- Problems are distributed in sheets A, B, C1, C2, D1, D2, D3
- This one is a roadmap. It targets learning the knowledge/skills in a consistent and balanced way
- Every sheet page is on average harder than the previous sheet page
- This is my </t>
    </r>
    <r>
      <rPr>
        <b/>
        <sz val="10"/>
        <rFont val="Arial"/>
      </rPr>
      <t>recommended</t>
    </r>
    <r>
      <rPr>
        <sz val="10"/>
        <rFont val="Arial"/>
      </rPr>
      <t xml:space="preserve"> way, though most camps/training-approaches don't use this style
- B) </t>
    </r>
    <r>
      <rPr>
        <b/>
        <sz val="10"/>
        <rFont val="Arial"/>
      </rPr>
      <t xml:space="preserve">Topics-Based training style
</t>
    </r>
    <r>
      <rPr>
        <sz val="10"/>
        <rFont val="Arial"/>
      </rPr>
      <t xml:space="preserve">- See sheet page (Topics). It has the same sheet problems (A to D3) ordered by category and level, around 950 problems
- </t>
    </r>
    <r>
      <rPr>
        <b/>
        <sz val="10"/>
        <rFont val="Arial"/>
      </rPr>
      <t>Ideas Quality column</t>
    </r>
    <r>
      <rPr>
        <sz val="10"/>
        <rFont val="Arial"/>
      </rPr>
      <t>: P5 (important), P4(very interesting), P3(interesting), P2(good), P1(ok), Empty (normal)
- Say your level is 6/10, and solved a problem of level 3 with P5, you will find it a normal one. So notice, it is subjective to your level/background
- You can train using Blind-Order, and use Topics page as guide to skip some problems
- Many guys/training camps are fan of this topics-based way. 
- You need to be careful with such style as it may corrupt your training quality, e.g. due to your bias
- Advantage: Mastering the algorithm till solving some hard problems in a short time
- Disadvantage: Discovering the algorithm behind the problem is an important skill. Given that you know the topic, you lose a good space to improve this skill
- Disadvantage: Being in the mode of specific algorithm lets you solve many of it easier. However, when solving in real contests, your mind is not so active on the specific topic
- It is still a good training roadmap. Actually used by most of people I think.</t>
    </r>
  </si>
  <si>
    <t>Advantages of this Sheet?</t>
  </si>
  <si>
    <t>- To be a strong contestant, one has to take care of a number of quality and quantitiy factors
   ==&gt; This roadmap does its best to satisfy that
- Typical issues in our Arabian region: Guys with 700-1000 solved problems and still weak!
- Why? 
     A) No specific roadmap or keep switching between them
     B) Training while knowing problem category / level
     C) Focus on specific online judge
- Again, this sheet solves these issues
- Allows you to write down your statiscs to learn from them (e.g. you consume much time in debugging)
- Continuous refining based on feedback</t>
  </si>
  <si>
    <r>
      <rPr>
        <b/>
        <sz val="10"/>
        <rFont val="Arial"/>
      </rPr>
      <t xml:space="preserve">Your Sheet </t>
    </r>
    <r>
      <rPr>
        <b/>
        <sz val="10"/>
        <color rgb="FF0000FF"/>
        <rFont val="Arial"/>
      </rPr>
      <t>COPY</t>
    </r>
  </si>
  <si>
    <r>
      <rPr>
        <sz val="10"/>
        <rFont val="Arial"/>
      </rPr>
      <t>This is a personal Google sheet for you [</t>
    </r>
    <r>
      <rPr>
        <b/>
        <sz val="10"/>
        <rFont val="Arial"/>
      </rPr>
      <t>Make a copy</t>
    </r>
    <r>
      <rPr>
        <sz val="10"/>
        <rFont val="Arial"/>
      </rPr>
      <t xml:space="preserve"> from file MENU] to have sets of problems to solve coupled with algorithms to learn
- Don't download the sheet, Use it online
- Can't edit it? Because it is </t>
    </r>
    <r>
      <rPr>
        <b/>
        <sz val="10"/>
        <rFont val="Arial"/>
      </rPr>
      <t>read-only</t>
    </r>
    <r>
      <rPr>
        <sz val="10"/>
        <rFont val="Arial"/>
      </rPr>
      <t xml:space="preserve">. Read below notes.
- Just make a copy to your google driver
- Then work over it online. Following are the details
- Login to ur google Gmail
- Go to my sheet
- In the sheet click on 'file' menu
- select Make copy
- it will create copy for u
- </t>
    </r>
    <r>
      <rPr>
        <b/>
        <sz val="10"/>
        <rFont val="Arial"/>
      </rPr>
      <t>RENAME</t>
    </r>
    <r>
      <rPr>
        <sz val="10"/>
        <rFont val="Arial"/>
      </rPr>
      <t xml:space="preserve"> it to Junior Sheet &lt;Your name&gt;
- Now the copied sheet is opened for you (or go inside ur Google drive and you will find it)
NOTE: If u did so and still read-only format, then you are again opening my sheet (e.g. with old name), NOT your copy</t>
    </r>
  </si>
  <si>
    <t>For Whom?</t>
  </si>
  <si>
    <t>A junior is anyone who does't master solving codeforces Div2-D.</t>
  </si>
  <si>
    <t>Skills Goals</t>
  </si>
  <si>
    <t>Moving from Junior Level to Semi-Senior Level: A one who do pretty well in CF-Div2 A, B, C, D and similar levels (e.g. TC-Div2-1000)</t>
  </si>
  <si>
    <t>Knowledge Goals</t>
  </si>
  <si>
    <t>Understand and build fair knowledge in some algorithms in Number Theory, Dynamic Programming, Greedy, Graph Theory and Search</t>
  </si>
  <si>
    <t>Sheets</t>
  </si>
  <si>
    <t>Sheet pages are mainly for Codeforces Div2 A, B, C, D + Problems on knolwdge topics (Mainly from UVA, SPOJ)</t>
  </si>
  <si>
    <t>Each sheet has some sets, each set is ~10-15 problems....The top sets are mandatory....The below sets (after line mark) are optional</t>
  </si>
  <si>
    <t>If you did well in the mandatory sets, move to next sheet...otherwise you still need training on similar level...then solve the optional problems</t>
  </si>
  <si>
    <t>Please watch the videos in order, solve UVA/SPOJ problems in order. Don't skip them.</t>
  </si>
  <si>
    <t>In some columns, some time recordings. This helps you to know how much time you take per a problem...use that to recognize your problems</t>
  </si>
  <si>
    <t>In the level column give an estimate to the problem level from 1-2 (easy), 3-4 (medium), 5-6(hard), 7-8 (had to read editorials), 9-10 (can't solve)</t>
  </si>
  <si>
    <t>In the comments column..write comments for hard problems.</t>
  </si>
  <si>
    <t>AC (for Accepted)</t>
  </si>
  <si>
    <t>CS (can't solve)</t>
  </si>
  <si>
    <t>Other values: WA (wrong answer), TLE (time limit exceeded), RTE, MLE</t>
  </si>
  <si>
    <t>If you solved a problem before, put ACX instead of AC. Don't resolve</t>
  </si>
  <si>
    <t>Don't let a problem consumes more than 2-3 hours. If can't solve it, see editorials/solutions. If still can't solve it, just leave it for now.</t>
  </si>
  <si>
    <t>Don't compare yourself with others. People vary in their progress</t>
  </si>
  <si>
    <t>Problem Level Column</t>
  </si>
  <si>
    <t xml:space="preserve">Use the following guide to assign a proper problem level
Div2-A =&gt; 1 - 2
Div2-B =&gt; 1.5 - 3
Div2-C =&gt; 3 - 5.5
Div2-D =&gt; 5 - 6.5
Div2-E =&gt; 6 - 7.5 
Div1-D =&gt; 7 - 8.5
Div1-E =&gt; 8 - 9.75
In other words, most of the time, one shouldn't assign Div2-A problem level such as 5. But it can be: 1, 1.5, 2. Very few might be 2.5
</t>
  </si>
  <si>
    <t>Notations</t>
  </si>
  <si>
    <t>CF (codeforces), D2 (Division 2), (136, A) is the problem URL. Note this is not Round 136 ... it is Round 97</t>
  </si>
  <si>
    <t>SRM150-D2-1000</t>
  </si>
  <si>
    <t>SRM 150 (Topcoder), D2 (Division 2), 1000 (3rd problem)</t>
  </si>
  <si>
    <t>For Topcoder:
If using the applet arena, then we normally use SRM number (the old way)
However, if using the web arena, you need first the problem name itself! (the new way - https://arena.topcoder.com/)
The fastest way to get problem name is from the editorial if exist
https://apps.topcoder.com/wiki/display/tc/Algorithm+Problem+Set+Analysis                      [LOGIN here first]
https://www.topcoder.com/tc?d1=match_editorials&amp;d2=archive&amp;module=Static
https://www.topcoder.com/blog/tag/srm-editorials/  [for recent SRMs]
How to see contest submissions: https://www.quora.com/Where-can-I-find-the-solutions-to-the-problems-in-TopCoder
Otherwise from match archive: https://www.topcoder.com/tc?module=MatchList
For notes and tricks for using Java arena applet: See https://goo.gl/Q43tRL. We can download code with all cases on local machine and code normally.
Topcoder nowadays maybe slow. So wait for 5 min for a problem to open. If did not work, try in another day
https://codeforces.com/blog/entry/61252</t>
  </si>
  <si>
    <t>Problems Colors</t>
  </si>
  <si>
    <t>White for a problem from codeforces</t>
  </si>
  <si>
    <t>Basic (if possible) Knowledge problem on the just watched videos</t>
  </si>
  <si>
    <t>A knowledge problem on topic you watched before, will be harder than basic problems</t>
  </si>
  <si>
    <t>Problem of easier level than current sheet page level to enhance multiple training levels in same time instead of 1 level training</t>
  </si>
  <si>
    <t>Moving faster</t>
  </si>
  <si>
    <t>Do I have to solve every problem? For Div2 (A, B, C1) =&gt; No. If you can move faster, do it. For Non CF problems (E.g. UVA), please solve all</t>
  </si>
  <si>
    <t>Others Solutions</t>
  </si>
  <si>
    <t>If you solved a problem, please see some other accepted solutions in codeforces. You don't need to watch my linked videos unless can't solve</t>
  </si>
  <si>
    <t>External Resources</t>
  </si>
  <si>
    <t>Many awesome links - very helpful for English guys</t>
  </si>
  <si>
    <t>Ahmed is senior from GUC</t>
  </si>
  <si>
    <t>Don't like my sheet? Go with Ahmed Aly Ladders</t>
  </si>
  <si>
    <t>Arabic Programming Playlist</t>
  </si>
  <si>
    <t>Programming Mohamed desouky</t>
  </si>
  <si>
    <t xml:space="preserve">Each video is part of a playlist </t>
  </si>
  <si>
    <t>History</t>
  </si>
  <si>
    <t>V1: initial release</t>
  </si>
  <si>
    <t>V2: Vidoes updates. Sheet P2A: Little problems replaced + reordering. P2B, P2C, P2D merged in P2B. P3A and P3B: new knowledge sheets</t>
  </si>
  <si>
    <t>V3: Added problem names. P3A, P3B split over 3 sheets, reordered to be more incremental rather than random</t>
  </si>
  <si>
    <t>V4: (https://docs.google.com/spreadsheets/d/12YI86X40xGtid9t1dUHkK6urrqh6nTaPEvOKBkAbAgU/edit?usp=sharing)
Solving many knowledge concerns:
1- Discarded rare topics (and their problems): ~20 videos.
2- Adding Easy problems after each video. You don't have to search by yourself anymore
3- Distributing many of the knowledge problems inside the the main sheets instead of delaying them to the last sheets.
Other concerns:
4- More smooth transitions from a sheet to another
5- Utilizing the new many problems added by CF since initial sheet creation</t>
  </si>
  <si>
    <t>V5</t>
  </si>
  <si>
    <t>- Added Video Solutions to some existing problems
- Added Easier DP problems after its Intro videos
- Added new topics: Tree Diameter, Isomorphism, DP (bitmasks, games, probability), Max Flow, SCC, Segment Tree, 2 pointers, Trie, KMP, Geometry Polygons
- Added problems for old categories to balance the available problem levels per category.
- Added 3 sheets for Div2-D (contains the old Misc sheet problems) 
Note: If you were using version 4.X, then the major change for you is replacing "Misc" sheet with the 3 Div2-D sheets. If wanna migrate:
- Then Remove Misc sheet
- Click on the arrow for Div2-D sheets, and make copy for your sheet</t>
  </si>
  <si>
    <t>V6:
- Added 3 columns to the sheet: debug time, category and by yourself columns
- Each sheet is enhanced with problems from the lower sheet (shifted from it). The purpose is to mix levels per sheet, hence allow multiple training levels in same time (hard vs speed concern). See the new added color
- Added probability/expectations English videos/problems
- Added Topological sort problems
- Solution editorials linked to many non-CF problems / more videos in DIv2-A/Div2-B 
- Add many problems where my trainees marked as interesting problems. Removed some problems that I think not that interesting or its ideas covered by other problems (subjective). I am working on sheets with a simple, but hard to do idea: Most of the problems seems for the trainer novel in idea with less repeated ideas, hence learning a lot while solving much less.
- Add topics based training style sheet page
V7:
- Added Topics2 (See notes there) - not intended for juniors</t>
  </si>
  <si>
    <r>
      <rPr>
        <b/>
        <sz val="10"/>
        <rFont val="arial,sans,sans-serif"/>
      </rPr>
      <t>Thanks</t>
    </r>
    <r>
      <rPr>
        <sz val="10"/>
        <rFont val="arial,sans,sans-serif"/>
      </rPr>
      <t xml:space="preserve"> for all guys who sent sheet feedback: Mariam Alshereef, Magdy Hassan, Ahmed Yasser, Ahmed Elsayed Awad, Mohamed Nasser, Mostafa Ali Mansour, Aya elymany, Ayyad shenouda, Others.</t>
    </r>
  </si>
  <si>
    <r>
      <rPr>
        <sz val="10"/>
        <rFont val="arial,sans,sans-serif"/>
      </rPr>
      <t xml:space="preserve">Special Thanks for </t>
    </r>
    <r>
      <rPr>
        <sz val="10"/>
        <rFont val="arial,sans,sans-serif"/>
      </rPr>
      <t>Coach Alhussain Aly</t>
    </r>
    <r>
      <rPr>
        <sz val="10"/>
        <rFont val="arial,sans,sans-serif"/>
      </rPr>
      <t xml:space="preserve"> for his continuous help</t>
    </r>
  </si>
  <si>
    <t>Special Thanks for All volunteers in videos recording / editorials writing</t>
  </si>
  <si>
    <r>
      <t xml:space="preserve">Q) What is the sheet </t>
    </r>
    <r>
      <rPr>
        <b/>
        <sz val="10"/>
        <rFont val="Arial"/>
      </rPr>
      <t>requirements</t>
    </r>
    <r>
      <rPr>
        <sz val="10"/>
        <color rgb="FF000000"/>
        <rFont val="Arial"/>
      </rPr>
      <t>? Should I study algorithms and Data structures?</t>
    </r>
  </si>
  <si>
    <t>- ONLY programming skills (e.g. Programming 1 level). It is highly advised to implement 2-3 projects
- NO for OOP 
- NO for datastructures, but learn STL (or Collections in Java/C#). It helps alot
- NO for algorithms, the sheet will teach you that in a smooth way
- For C++ guys (and others as guide) - first 18 videos here: https://www.youtube.com/playlist?list=PLPt2dINI2MIZPFq6HyUB1Uhxdh1UDnZMS</t>
  </si>
  <si>
    <t>Q) How much time do I need to finish the sheet?</t>
  </si>
  <si>
    <r>
      <rPr>
        <sz val="10"/>
        <rFont val="Arial"/>
      </rPr>
      <t xml:space="preserve">- Answer varies from one to another. 
- Some trainees are fast through whole sheet
- Some trainees are slow through whole sheet
- Some trainees are fast in early pages, but slow at the end
- Some trainees are slow in early pages, but fast at the end
- The sheet has ~900 problems. Around 60 videos. Problems targets average guys. However, you are ecnouraged to skip problems whenever you could. I expect many guys could skip 20%-30% of the mandatory problems. Make use of the Topics page.
</t>
    </r>
    <r>
      <rPr>
        <sz val="10"/>
        <color rgb="FF9900FF"/>
        <rFont val="Arial"/>
      </rPr>
      <t>215 problems of level &lt;= 2.5 (avg 20 min per problem)
93 problems of level &lt;= 3.5 (avg 30 min per problem)
270 problems of level &lt;= 4.5 (avg 40 min per problem)
178 problems of level &lt;= 5.25 (avg 60 min per problem)
127 problems of level &lt;= 5.75 (avg 75 min per problem)
53 problems of level &gt; 5.75 (avg 90 min per problem)</t>
    </r>
    <r>
      <rPr>
        <sz val="10"/>
        <rFont val="Arial"/>
      </rPr>
      <t xml:space="preserve">
215*20+93*30+270*40+178*60+127*75+53*90 = ~700 hours (say max 900 hours). For a pratical limit, say you need 1300 hours
- https://ask.fm/mostafasaad87/answers/144907000290    [adjust to whatever fits with you]</t>
    </r>
  </si>
  <si>
    <t>Q) How many problems to solve per day?</t>
  </si>
  <si>
    <t>- I prefer you to decide the number of hours weekly and cover them. Don't use the problems count as a measure</t>
  </si>
  <si>
    <r>
      <t xml:space="preserve">Q) When should I give up and </t>
    </r>
    <r>
      <rPr>
        <b/>
        <sz val="10"/>
        <rFont val="Arial"/>
      </rPr>
      <t>check the editorials</t>
    </r>
    <r>
      <rPr>
        <sz val="10"/>
        <color rgb="FF000000"/>
        <rFont val="Arial"/>
      </rPr>
      <t xml:space="preserve"> and solutions?</t>
    </r>
  </si>
  <si>
    <t>https://ask.fm/mostafasaad87/answers/144907000290</t>
  </si>
  <si>
    <r>
      <t xml:space="preserve">Q) Got </t>
    </r>
    <r>
      <rPr>
        <b/>
        <sz val="10"/>
        <rFont val="Arial"/>
      </rPr>
      <t>WA</t>
    </r>
    <r>
      <rPr>
        <sz val="10"/>
        <color rgb="FF000000"/>
        <rFont val="Arial"/>
      </rPr>
      <t>, should I check directly the test cases?</t>
    </r>
  </si>
  <si>
    <t>- No, remember in a real contest you only know your problem status (WA, TLE, ...etc)
- Struggle to find the wrong case by yourself. At least 15-30 minutes.
- Don't keep trying longer, just check the test cases
- If you can write a brute force solution for your problem, write a stress test: Generate random cases and compare the optimal algorithm with the brute force case</t>
  </si>
  <si>
    <r>
      <t xml:space="preserve">Q) What is the </t>
    </r>
    <r>
      <rPr>
        <b/>
        <sz val="10"/>
        <rFont val="Arial"/>
      </rPr>
      <t>debug time</t>
    </r>
    <r>
      <rPr>
        <sz val="10"/>
        <color rgb="FF000000"/>
        <rFont val="Arial"/>
      </rPr>
      <t>?</t>
    </r>
  </si>
  <si>
    <t>- Once you finish coding and start testing, you verify if the program is working as expected or not
- If not, there are bugs that you need to find to make the program behave as expected. From this moment till getting the program AC = debugging time
- People could debug using 'print statements'. A better way using a debugger
- Check out these 4 videos: https://www.youtube.com/watch?v=DlbQwQEiDW0&amp;t=0s&amp;index=35&amp;list=PLPt2dINI2MIZPFq6HyUB1Uhxdh1UDnZMS</t>
  </si>
  <si>
    <r>
      <t xml:space="preserve">Q) Should I solve </t>
    </r>
    <r>
      <rPr>
        <b/>
        <sz val="10"/>
        <rFont val="Arial"/>
      </rPr>
      <t>every problem</t>
    </r>
    <r>
      <rPr>
        <sz val="10"/>
        <color rgb="FF000000"/>
        <rFont val="Arial"/>
      </rPr>
      <t>?</t>
    </r>
  </si>
  <si>
    <t>- Generally, preferred, but If you think certain level is easy (e.g. solve it within 15 minutes), then jump a block and so on
- This jumping might be for codeforces problems only</t>
  </si>
  <si>
    <t>Q) About UVA</t>
  </si>
  <si>
    <r>
      <t xml:space="preserve">- Just started in Div2-A, could I finish its codeforces problems first, then solve the UVA/Colored problems?
- Many juniors find UVA problems in Div2-A hard, I understand
- Yes, almost same for DIv2-B. But don't do that in next sheets as order might matter, because all of such knowledge are mainly preparations for hard Div2-B or Div2-C
- However, following the order is a much better idea
- Similarly, one could finish All Div2-A/Div2-B codeforces problems, then solve their colored problems. Again, this is not the best way.
- Why UVA/Other judge problems?
- Because they have important-to-solve problems that don't exist in other judges
- I can't know my bug in a UVA problem, what to do?
- 1) Google solutions and compare. To find cpp soliutions e.g. write: UVA 10110 filetype:cpp
- 2) Use </t>
    </r>
    <r>
      <rPr>
        <b/>
        <sz val="10"/>
        <rFont val="Arial"/>
      </rPr>
      <t>udebug</t>
    </r>
    <r>
      <rPr>
        <sz val="10"/>
        <color rgb="FF000000"/>
        <rFont val="Arial"/>
      </rPr>
      <t xml:space="preserve"> to find test cases of some problems. E.g. https://www.udebug.com/UVa/10110
- 3) UVA used to have very nice forum. Seems not active
- 4) Get AC solution and use it to generate test cases, if easy</t>
    </r>
  </si>
  <si>
    <r>
      <t xml:space="preserve">Q) Is using </t>
    </r>
    <r>
      <rPr>
        <b/>
        <sz val="10"/>
        <rFont val="Arial"/>
      </rPr>
      <t>C#</t>
    </r>
    <r>
      <rPr>
        <sz val="10"/>
        <color rgb="FF000000"/>
        <rFont val="Arial"/>
      </rPr>
      <t xml:space="preserve"> ok?</t>
    </r>
  </si>
  <si>
    <t>- Generally yes, but you won't be able to submit in UVA judge, as C# is not supported
- For such problems, write your code, but heavily test it. You may download an internet code and evalaute the test case on both
- On the other hand, learning Basic C++ + STL is not hard for C#/Java guys
- C++/Java/Python are official in UVA
- Codeforces allows more such as Javascript</t>
  </si>
  <si>
    <r>
      <rPr>
        <sz val="10"/>
        <rFont val="arial,sans,sans-serif"/>
      </rPr>
      <t xml:space="preserve">Q) When I watch a </t>
    </r>
    <r>
      <rPr>
        <b/>
        <sz val="10"/>
        <rFont val="arial,sans,sans-serif"/>
      </rPr>
      <t>video</t>
    </r>
    <r>
      <rPr>
        <sz val="10"/>
        <rFont val="arial,sans,sans-serif"/>
      </rPr>
      <t xml:space="preserve">, should I solve the </t>
    </r>
    <r>
      <rPr>
        <b/>
        <sz val="10"/>
        <rFont val="arial,sans,sans-serif"/>
      </rPr>
      <t>problems</t>
    </r>
    <r>
      <rPr>
        <sz val="10"/>
        <rFont val="arial,sans,sans-serif"/>
      </rPr>
      <t xml:space="preserve"> in its info section?</t>
    </r>
  </si>
  <si>
    <t>- No, sheet has subset of these problems already in specific order
- Sheet is self-contained</t>
  </si>
  <si>
    <r>
      <rPr>
        <sz val="10"/>
        <rFont val="arial,sans,sans-serif"/>
      </rPr>
      <t xml:space="preserve">Q) I watched the </t>
    </r>
    <r>
      <rPr>
        <b/>
        <sz val="10"/>
        <rFont val="arial,sans,sans-serif"/>
      </rPr>
      <t>video</t>
    </r>
    <r>
      <rPr>
        <sz val="10"/>
        <rFont val="arial,sans,sans-serif"/>
      </rPr>
      <t xml:space="preserve">, but it is </t>
    </r>
    <r>
      <rPr>
        <b/>
        <sz val="10"/>
        <rFont val="arial,sans,sans-serif"/>
      </rPr>
      <t>hard</t>
    </r>
    <r>
      <rPr>
        <sz val="10"/>
        <rFont val="arial,sans,sans-serif"/>
      </rPr>
      <t>, any tips?</t>
    </r>
  </si>
  <si>
    <t>- Algorithms are hard, learn to struggle
- Watch the video 2-3 times, try to rewrite its code by yourself
- Still can't get it? Google for more materials from the web (ppt/pdf/videos) and try to learn
- In worst case, leave it for now and return to it later</t>
  </si>
  <si>
    <r>
      <rPr>
        <sz val="10"/>
        <rFont val="arial,sans,sans-serif"/>
      </rPr>
      <t xml:space="preserve">Q) How does your sheet prepare for </t>
    </r>
    <r>
      <rPr>
        <b/>
        <sz val="10"/>
        <rFont val="arial,sans,sans-serif"/>
      </rPr>
      <t>ECPC/ACPC</t>
    </r>
    <r>
      <rPr>
        <sz val="10"/>
        <rFont val="arial,sans,sans-serif"/>
      </rPr>
      <t>?</t>
    </r>
  </si>
  <si>
    <t>- The sheet prepares you to reach level 5-5.5/10 in several categories
- If a team of 3 members solved the whole sheet, they may rank in the top 15 in the contest
But let's go in details. Individual sucess in contests depends on several factors. Let me state some of them.
- Solving many problems of good quality
- Improving your different skills (reading, thinking, coding and accuracy). 
-- 2 persons could solve in training the same problem. One got it in 20 min first submission, and the 2nd needed 90 minutes due to 60 minutes debugging.
- Healthy training: Regular / good times for training (e.g. morning) / weekly contests / reading other codes / collaboration with others / etc
- Stress management during contests
- Emotions management when fail in solving or feel performance is not improving enough
- Avoiding Psychological  issues: Comparing to others, Negative feelings, Your image, Regretting trainging time
Moving toward a team contest, you need more concerns:
- Serious team members. If only one active member, they may end up in bad performance. So EACH team member need to finish the sheet individually + weekly contests
- Tolerating team mistakes during the contest
- PC management
- Suitable strategy + several team contests to tune it
As you may notice, there are MANY factors for sucess. 
- This sheet provides you with high quality problems and good topics distribution + way to record your stats to know your weak points
- However, there are many concerns that YOU have to tackle by yourself and your team members</t>
  </si>
  <si>
    <t>- Finish up to CF-C2 sheet, then study from the "Cracking the Coding Interview: 150 Programming Questions and Solutions" book
- Also watch: https://www.youtube.com/watch?v=39vqarATPyM</t>
  </si>
  <si>
    <r>
      <rPr>
        <sz val="10"/>
        <rFont val="arial,sans,sans-serif"/>
      </rPr>
      <t xml:space="preserve">Q) How different is your sheet versus </t>
    </r>
    <r>
      <rPr>
        <b/>
        <sz val="10"/>
        <rFont val="arial,sans,sans-serif"/>
      </rPr>
      <t>Ahmed Aly Ladders</t>
    </r>
    <r>
      <rPr>
        <sz val="10"/>
        <rFont val="arial,sans,sans-serif"/>
      </rPr>
      <t>?</t>
    </r>
  </si>
  <si>
    <t>- Ladder problems are selected automatically, no personal investigation for the actual benefit/need from the problem
- Mine is mixed between automated and manual. 
- At the current moments, many of my trainees and students feedback, I am aware of the problem level and its category.
- I updated the sheet many times because of the received feedback
- My sheet involves the algorithms videos to learn, in order, while you grow up. 
- I selected videos to prepare you as soon as possible for Div2-C/Div2-D where many algorithms starts to appear
- It is a sheet..ready for you to record your times, notes...etc...this help to improve yourself
- It is not blocking style. If you can't solve problem, just leave it and move to other one. In ladders, you see next problem when solve current one (or do workarounds)</t>
  </si>
  <si>
    <r>
      <rPr>
        <sz val="10"/>
        <rFont val="arial,sans,sans-serif"/>
      </rPr>
      <t xml:space="preserve">Q) How did you </t>
    </r>
    <r>
      <rPr>
        <b/>
        <sz val="10"/>
        <rFont val="arial,sans,sans-serif"/>
      </rPr>
      <t>select problems</t>
    </r>
    <r>
      <rPr>
        <sz val="10"/>
        <rFont val="arial,sans,sans-serif"/>
      </rPr>
      <t xml:space="preserve"> for the sheet?</t>
    </r>
  </si>
  <si>
    <t>- Long story, many versions were there, from a version to another improvements were applied
- Codeforces problems where rated based on this CF tool: http://codeforces.com/blog/entry/46304?mobile=true#_=_
- Any rating is just an estimation. I found this one a pretty reasonable measure
- The videos are selected such that when comes to Div2-C/, you are ready
- Manual selections and investigations for non-CF problems to be used in the sheet
- Lots of manual efforts and investigations and feedback processing</t>
  </si>
  <si>
    <r>
      <rPr>
        <sz val="10"/>
        <rFont val="arial,sans,sans-serif"/>
      </rPr>
      <t xml:space="preserve">Q) can't </t>
    </r>
    <r>
      <rPr>
        <b/>
        <sz val="10"/>
        <rFont val="arial,sans,sans-serif"/>
      </rPr>
      <t>access</t>
    </r>
    <r>
      <rPr>
        <sz val="10"/>
        <rFont val="arial,sans,sans-serif"/>
      </rPr>
      <t xml:space="preserve"> the sheet in </t>
    </r>
    <r>
      <rPr>
        <b/>
        <sz val="10"/>
        <rFont val="arial,sans,sans-serif"/>
      </rPr>
      <t>edit</t>
    </r>
    <r>
      <rPr>
        <sz val="10"/>
        <rFont val="arial,sans,sans-serif"/>
      </rPr>
      <t xml:space="preserve"> mode?</t>
    </r>
  </si>
  <si>
    <t>- Don't download the sheet, Work over it online "better"
- Can't edit it? Because it is read-only. Read below notes.
- Just make a copy to your google driver
- Then work over it online. Following are the details
- Login to ur google Gmail
- Go to my sheet
- In the sheet click on 'file' menu
- select Make copy
- it will create copy for u
- RENAME it to Junior Training Sheet
- Now the copied sheet is opened for you (or go inside ur Google drive and you will find it)
NOTE: If u did so and still read-only format, then you are again opening my sheet (e.g. with old name), NOT your copy</t>
  </si>
  <si>
    <r>
      <rPr>
        <sz val="10"/>
        <rFont val="arial,sans,sans-serif"/>
      </rPr>
      <t xml:space="preserve">Q) What to write in the </t>
    </r>
    <r>
      <rPr>
        <b/>
        <sz val="10"/>
        <rFont val="arial,sans,sans-serif"/>
      </rPr>
      <t>category column</t>
    </r>
    <r>
      <rPr>
        <sz val="10"/>
        <rFont val="arial,sans,sans-serif"/>
      </rPr>
      <t>?</t>
    </r>
  </si>
  <si>
    <t>The algorithm used to solve a problem. In Div2-A, this might be:
- This column is for the algorithm you used during solving. Usually, new guys in CF-A are confused. If so, leave it CF-A and start to write in CF-B
- The more you go in the sheet you will learn algorithms (e.g. Binary search, DP, DFS, etc). Then this what you write in level column
- The problem that has no algorithm but a specific idea called ad-hoc, This is the case for most of CF-A and less later
- Implementation: Means the problem request is almost direct, just code it
- Brute Force: Means instead of finding elegant solution, try all possible solutions (e.g. 3 nested loops) and select the solution
- Ad-hoc: Just per-problem thinking in a special way/analysis on how to solve the problem
- Please watch from this minute: https://youtu.be/DZ6YTtILCE8?t=839</t>
  </si>
  <si>
    <r>
      <rPr>
        <sz val="10"/>
        <rFont val="arial,sans,sans-serif"/>
      </rPr>
      <t xml:space="preserve">Q) Are problems really sorted based on </t>
    </r>
    <r>
      <rPr>
        <b/>
        <sz val="10"/>
        <rFont val="arial,sans,sans-serif"/>
      </rPr>
      <t>easiness</t>
    </r>
    <r>
      <rPr>
        <sz val="10"/>
        <rFont val="arial,sans,sans-serif"/>
      </rPr>
      <t>? I don't feel so.</t>
    </r>
  </si>
  <si>
    <t>They are sorted by easiness already. But, whatever order, anyone will find some are easy and some are hard in some order.
That is, no one can give you a list that every problem for YOU is easier than the next problem.
In other words, If we gave 100 problems to 10 students of same level to solve and told them rank from easy to hard, they will rank them differently.
So, questions ordered by people average. The promise is, the problems will be within your range to solve.</t>
  </si>
  <si>
    <r>
      <rPr>
        <sz val="10"/>
        <rFont val="arial,sans,sans-serif"/>
      </rPr>
      <t xml:space="preserve">Q) What are these problems </t>
    </r>
    <r>
      <rPr>
        <b/>
        <sz val="10"/>
        <rFont val="arial,sans,sans-serif"/>
      </rPr>
      <t>colors</t>
    </r>
    <r>
      <rPr>
        <sz val="10"/>
        <rFont val="arial,sans,sans-serif"/>
      </rPr>
      <t>?</t>
    </r>
  </si>
  <si>
    <t>See "Problems Colors" notes in info page</t>
  </si>
  <si>
    <r>
      <rPr>
        <sz val="10"/>
        <rFont val="arial,sans,sans-serif"/>
      </rPr>
      <t xml:space="preserve">Q) Are the problems </t>
    </r>
    <r>
      <rPr>
        <b/>
        <sz val="10"/>
        <rFont val="arial,sans,sans-serif"/>
      </rPr>
      <t>sorted</t>
    </r>
    <r>
      <rPr>
        <sz val="10"/>
        <rFont val="arial,sans,sans-serif"/>
      </rPr>
      <t>?</t>
    </r>
  </si>
  <si>
    <t xml:space="preserve">Yes, but this is tricky as sorting is subjective. 
That is imagine 10 prblems given for 100 people to order based on its level, people will arrange in different ways based on theie experience
So if you felt they are not sorted, just keep going </t>
  </si>
  <si>
    <r>
      <rPr>
        <sz val="10"/>
        <rFont val="arial,sans,sans-serif"/>
      </rPr>
      <t xml:space="preserve">Q) Why problem-solving is that </t>
    </r>
    <r>
      <rPr>
        <b/>
        <sz val="10"/>
        <rFont val="arial,sans,sans-serif"/>
      </rPr>
      <t>important</t>
    </r>
    <r>
      <rPr>
        <sz val="10"/>
        <rFont val="arial,sans,sans-serif"/>
      </rPr>
      <t>?</t>
    </r>
  </si>
  <si>
    <t>See the first 2 videos here: https://www.youtube.com/playlist?list=PLPt2dINI2MIaNcU070HIAO8JWYBcafuyG</t>
  </si>
  <si>
    <r>
      <rPr>
        <sz val="10"/>
        <rFont val="arial,sans,sans-serif"/>
      </rPr>
      <t xml:space="preserve">Q) I </t>
    </r>
    <r>
      <rPr>
        <b/>
        <sz val="10"/>
        <rFont val="arial,sans,sans-serif"/>
      </rPr>
      <t>feel bored</t>
    </r>
    <r>
      <rPr>
        <sz val="10"/>
        <rFont val="arial,sans,sans-serif"/>
      </rPr>
      <t xml:space="preserve"> when solving problems compare to doing projects?</t>
    </r>
  </si>
  <si>
    <t>https://ask.fm/mostafasaad87/answers/145333554402</t>
  </si>
  <si>
    <r>
      <rPr>
        <sz val="10"/>
        <rFont val="arial,sans,sans-serif"/>
      </rPr>
      <t xml:space="preserve">Q) I would like to </t>
    </r>
    <r>
      <rPr>
        <b/>
        <sz val="10"/>
        <rFont val="arial,sans,sans-serif"/>
      </rPr>
      <t>freeze</t>
    </r>
    <r>
      <rPr>
        <sz val="10"/>
        <rFont val="arial,sans,sans-serif"/>
      </rPr>
      <t xml:space="preserve"> my study for 1-2 years to be good in problem-solving?</t>
    </r>
  </si>
  <si>
    <t>I never liked that. Graduate on time. In your free times and vacations do more problem solving
Relevant: https://ask.fm/mostafasaad87/answers/145151822818</t>
  </si>
  <si>
    <t>Q) Topics based-training vs Blind Order</t>
  </si>
  <si>
    <t>In topics training, we study a topic, then solve a lot of problems over it.
Advantages:
- Mastering the algorithm till solving some hard problems in short time
Disadvantages:
- Discovering the algorithm behind the problem is an important skill. Given that you know the topic, you lose a good space to improve this skill
- Being in the mode of specific algorithm lets you solve many of it easier. However, when solving in real contests, your mind is not so active on specific topic
In my sheets - Blind style:
- You solve 3-5 per topic. Then you have to discover the other problems by yourself. So you train to avoid the missing 2 points
Claim:
- Although topics training let guys be so good early, they level stuck early and they don't improve. Seems to me, topics training is an important factor in doing so. Meanwhile, if you just target to be good in Div2D level in shorter time and no interest in further competitions achievments, you may go topics based.</t>
  </si>
  <si>
    <t>Q) Who FInished my sheet? Their levels?</t>
  </si>
  <si>
    <t>https://ask.fm/mostafasaad87/answers/150802497762</t>
  </si>
  <si>
    <t>Q) How to share my sheet progress with you?</t>
  </si>
  <si>
    <t>https://ask.fm/mostafasaad87/answers/148552940002</t>
  </si>
  <si>
    <t>Q) What is after the sheet?</t>
  </si>
  <si>
    <t>- There are 2 other levels, each has around 1000 problems. Semi-senior level and seniors level
- Generally speaking, the region stars will solve a lot of problems, e.g. 2000-3000 problems with many of them of hard level
- Whoever finish the sheet, I join him in my supervision for the next levels</t>
  </si>
  <si>
    <t>Q) Is it normal to re-solve a problem again and do same mistakes and take same time?</t>
  </si>
  <si>
    <t>Yes, happens a lot</t>
  </si>
  <si>
    <t>Q) Should I re-solve some of what I solved agian?</t>
  </si>
  <si>
    <t>No, always solve new problems. Revise your notes on lessons you learned from past problems</t>
  </si>
  <si>
    <t>Problem Name</t>
  </si>
  <si>
    <t>Problem Code</t>
  </si>
  <si>
    <t>Status</t>
  </si>
  <si>
    <t>Submit Count</t>
  </si>
  <si>
    <t>Reading Time(m)</t>
  </si>
  <si>
    <t>Thinking Time(m)</t>
  </si>
  <si>
    <t>Coding Time(m)</t>
  </si>
  <si>
    <t>Debug Time(m)</t>
  </si>
  <si>
    <t>Total Time(m)</t>
  </si>
  <si>
    <t>Problem Level /10</t>
  </si>
  <si>
    <t>By yourself?</t>
  </si>
  <si>
    <t>Category</t>
  </si>
  <si>
    <t>1-2 line Comments
About your approach</t>
  </si>
  <si>
    <t>AC Averages =&gt;</t>
  </si>
  <si>
    <t>Sample Name1</t>
  </si>
  <si>
    <t>Sample Link1</t>
  </si>
  <si>
    <t>AC</t>
  </si>
  <si>
    <t>Yes</t>
  </si>
  <si>
    <t>Math</t>
  </si>
  <si>
    <r>
      <rPr>
        <sz val="10"/>
        <color rgb="FF000000"/>
        <rFont val="'Arial'"/>
      </rPr>
      <t xml:space="preserve">Solution in mind is O(n^2): for each pair of points, get the equation of the straight line linking between them, and add 2 to its count. Print the count of the line having the max count. Problem is how to hash a line equation (coefficients are double).
</t>
    </r>
    <r>
      <rPr>
        <b/>
        <sz val="10"/>
        <color rgb="FF0000FF"/>
        <rFont val="'Arial'"/>
      </rPr>
      <t xml:space="preserve">My Performance Notes: </t>
    </r>
    <r>
      <rPr>
        <sz val="10"/>
        <color rgb="FF000000"/>
        <rFont val="'Arial'"/>
      </rPr>
      <t xml:space="preserve">This is so bad performance. Needed many submissions per problem. Always submit as if you are in real contest. Submit to AC, not to see if we will pass or not. </t>
    </r>
    <r>
      <rPr>
        <b/>
        <sz val="10"/>
        <color rgb="FF000000"/>
        <rFont val="'Arial'"/>
      </rPr>
      <t>Target AC from 1st</t>
    </r>
    <r>
      <rPr>
        <sz val="10"/>
        <color rgb="FF000000"/>
        <rFont val="'Arial'"/>
      </rPr>
      <t xml:space="preserve"> submission. Think more before submission.
</t>
    </r>
  </si>
  <si>
    <t>Sample Name2</t>
  </si>
  <si>
    <t>Sample Link2</t>
  </si>
  <si>
    <t>No</t>
  </si>
  <si>
    <t>Impl</t>
  </si>
  <si>
    <r>
      <rPr>
        <sz val="10"/>
        <rFont val="Arial"/>
      </rPr>
      <t xml:space="preserve">I had to check the editorial
</t>
    </r>
    <r>
      <rPr>
        <b/>
        <sz val="10"/>
        <color rgb="FF9900FF"/>
        <rFont val="Arial"/>
      </rPr>
      <t xml:space="preserve">
My Performance Notes: </t>
    </r>
    <r>
      <rPr>
        <sz val="10"/>
        <rFont val="Arial"/>
      </rPr>
      <t xml:space="preserve">This is so bad performance. He thought for little time and continued thinking while coding. As a result, much debug time too. RULE: </t>
    </r>
    <r>
      <rPr>
        <b/>
        <sz val="10"/>
        <rFont val="Arial"/>
      </rPr>
      <t xml:space="preserve">Think More, Code Faster
</t>
    </r>
  </si>
  <si>
    <t>Sample Name3</t>
  </si>
  <si>
    <t>Sample Link3</t>
  </si>
  <si>
    <t>Graph</t>
  </si>
  <si>
    <r>
      <rPr>
        <sz val="10"/>
        <rFont val="Arial"/>
      </rPr>
      <t xml:space="preserve">Please always write and study your timings.
</t>
    </r>
    <r>
      <rPr>
        <b/>
        <sz val="10"/>
        <color rgb="FF0000FF"/>
        <rFont val="Arial"/>
      </rPr>
      <t xml:space="preserve">My Performance Notes: </t>
    </r>
    <r>
      <rPr>
        <sz val="10"/>
        <rFont val="Arial"/>
      </rPr>
      <t>This is so good performance. 1st submission. Thinking is the higher. Code/Debug is so low. By time, thinking column will be improved.</t>
    </r>
  </si>
  <si>
    <t>Sample Name4</t>
  </si>
  <si>
    <t>Sample Link4</t>
  </si>
  <si>
    <t>WA</t>
  </si>
  <si>
    <t>Hint</t>
  </si>
  <si>
    <t>Other Status values: AC, WA, CS, TLE, MLE, RTE, ...
These values and comments are just examples. Just remove/ignore them.</t>
  </si>
  <si>
    <t>Sample Name5</t>
  </si>
  <si>
    <t>Sample Link5</t>
  </si>
  <si>
    <t>CS</t>
  </si>
  <si>
    <t>Want c++ solution for UVA 408? Google with: UVA 408 filetype:cpp</t>
  </si>
  <si>
    <t>Vanya and Fence</t>
  </si>
  <si>
    <t>Video</t>
  </si>
  <si>
    <t>Anton and Danik</t>
  </si>
  <si>
    <t>You shouldn't watch a solution video unless you can't solve it by yourself and don't get it from editorial/code. Videos are there just to for extra help.</t>
  </si>
  <si>
    <t>In the first 20 problems, don't think more than 20 minutes. After that see the solutions.</t>
  </si>
  <si>
    <t>Bear and Big Brother</t>
  </si>
  <si>
    <t>Team</t>
  </si>
  <si>
    <t>Beautiful Matrix</t>
  </si>
  <si>
    <t>Gravity Flip</t>
  </si>
  <si>
    <t>Petya and Strings</t>
  </si>
  <si>
    <t>Boy or Girl</t>
  </si>
  <si>
    <t>Word</t>
  </si>
  <si>
    <t>Magnets</t>
  </si>
  <si>
    <t>Sereja and Dima</t>
  </si>
  <si>
    <t>Stones on the Table</t>
  </si>
  <si>
    <t>Police Recruits</t>
  </si>
  <si>
    <t>Black Square</t>
  </si>
  <si>
    <t>Night at the Museum</t>
  </si>
  <si>
    <t>Games</t>
  </si>
  <si>
    <t>Buy a Shovel</t>
  </si>
  <si>
    <t>Is your horseshoe on the other hoof?</t>
  </si>
  <si>
    <t>Colorful Stones (Simplified Edition)</t>
  </si>
  <si>
    <t>Die Roll</t>
  </si>
  <si>
    <t>Shaass and Oskols</t>
  </si>
  <si>
    <t>Juicer</t>
  </si>
  <si>
    <t>Carrot Cakes</t>
  </si>
  <si>
    <t>Anton and Letters</t>
  </si>
  <si>
    <t>Way Too Long Words</t>
  </si>
  <si>
    <t>Free Ice Cream</t>
  </si>
  <si>
    <t>Helpful Maths</t>
  </si>
  <si>
    <t>Team Olympiad</t>
  </si>
  <si>
    <t>New Password</t>
  </si>
  <si>
    <t>For many beginners, the colored problems (such as UVA ones) are hard. 
Please do the following:
- Listen to the video 2-3 times. If still don't understand, search for web materials
- Try the problems. If can't, checkout solutions/videos
- If still hard, just skip. Once finished A do the same in B.
- After B, come back to these colored ones and give another trial
- Move to C1, and so on
- Take it easy to learn :)</t>
  </si>
  <si>
    <t>Light, more light</t>
  </si>
  <si>
    <t>Product</t>
  </si>
  <si>
    <t>Uniform Generator</t>
  </si>
  <si>
    <t>Black and white painting</t>
  </si>
  <si>
    <t>Electricity</t>
  </si>
  <si>
    <t>Presents</t>
  </si>
  <si>
    <t>Lineland Mail</t>
  </si>
  <si>
    <t>Mahmoud and Longest Uncommon Subsequence</t>
  </si>
  <si>
    <t>Snacktower</t>
  </si>
  <si>
    <t>Oath of the Night's Watch</t>
  </si>
  <si>
    <t>Pangram</t>
  </si>
  <si>
    <t>Twins</t>
  </si>
  <si>
    <t>Keyboard</t>
  </si>
  <si>
    <t>The Seasonal War</t>
  </si>
  <si>
    <t>Marcus</t>
  </si>
  <si>
    <t>Battleships</t>
  </si>
  <si>
    <t>Forming Teams</t>
  </si>
  <si>
    <t>Hierarchy</t>
  </si>
  <si>
    <t>Ordering Tasks</t>
  </si>
  <si>
    <t>Even Odds</t>
  </si>
  <si>
    <t>I Wanna Be the Guy</t>
  </si>
  <si>
    <t>Is it rated?</t>
  </si>
  <si>
    <t>Olesya and Rodion</t>
  </si>
  <si>
    <t>Football</t>
  </si>
  <si>
    <t>Brain's Photos</t>
  </si>
  <si>
    <t>Dubstep</t>
  </si>
  <si>
    <t>Valera and X</t>
  </si>
  <si>
    <t>Arpa’s hard exam and Mehrdad’s naive cheat</t>
  </si>
  <si>
    <t>Calculating Function</t>
  </si>
  <si>
    <t>Theatre Square</t>
  </si>
  <si>
    <t>Anton and Polyhedrons</t>
  </si>
  <si>
    <t>Panoramix's Prediction</t>
  </si>
  <si>
    <t>Counterexample</t>
  </si>
  <si>
    <t>Wasted Time</t>
  </si>
  <si>
    <t>Points in Figures: Rectangles</t>
  </si>
  <si>
    <t>Overlapping Rectangles</t>
  </si>
  <si>
    <t>Fancy Fence</t>
  </si>
  <si>
    <t>Pouring Rain</t>
  </si>
  <si>
    <t>Fourth Point !!</t>
  </si>
  <si>
    <t>Good Number</t>
  </si>
  <si>
    <t>Dice Tower</t>
  </si>
  <si>
    <t>Alyona and Numbers</t>
  </si>
  <si>
    <t>Mountain Scenery</t>
  </si>
  <si>
    <t>Help Vasilisa the Wise 2</t>
  </si>
  <si>
    <t>Chewbaсca and Number</t>
  </si>
  <si>
    <t>Ksenia and Pan Scales</t>
  </si>
  <si>
    <t>Launch of Collider</t>
  </si>
  <si>
    <t>Polo the Penguin and Segments</t>
  </si>
  <si>
    <t>IQ Test</t>
  </si>
  <si>
    <t>Yaroslav and Permutations</t>
  </si>
  <si>
    <t>Snow Footprints</t>
  </si>
  <si>
    <t>Raising Bacteria</t>
  </si>
  <si>
    <t>BowWow and the Timetable</t>
  </si>
  <si>
    <t>Balanced Rating Changes</t>
  </si>
  <si>
    <t>The Playboy Chimp</t>
  </si>
  <si>
    <t>Pipeline</t>
  </si>
  <si>
    <t>Burning Midnight Oil</t>
  </si>
  <si>
    <t>Aggressive cows</t>
  </si>
  <si>
    <t>Optional Problems</t>
  </si>
  <si>
    <t>You don't have to or encouraged to solve the next problem. If you felt you need so, try some of them. Or Proceed to next and solve in parallel, up to you.</t>
  </si>
  <si>
    <t>Word Capitalization</t>
  </si>
  <si>
    <t>Next Round</t>
  </si>
  <si>
    <t>Young Physicist</t>
  </si>
  <si>
    <t>Bit++</t>
  </si>
  <si>
    <t>Case of the Zeros and Ones</t>
  </si>
  <si>
    <t>Translation</t>
  </si>
  <si>
    <t>String Task</t>
  </si>
  <si>
    <t>Laptops</t>
  </si>
  <si>
    <t>Left-handers, Right-handers and Ambidexters</t>
  </si>
  <si>
    <t>George and Accommodation</t>
  </si>
  <si>
    <t>Vitaliy and Pie</t>
  </si>
  <si>
    <t>Eng Mohamed Ayman</t>
  </si>
  <si>
    <t>Vasya the Hipster</t>
  </si>
  <si>
    <t>Fox And Snake</t>
  </si>
  <si>
    <t>The New Year: Meeting Friends</t>
  </si>
  <si>
    <t>Elephant</t>
  </si>
  <si>
    <t>Greg's Workout</t>
  </si>
  <si>
    <t>Ultra-Fast Mathematician</t>
  </si>
  <si>
    <t>Little Pony and Crystal Mine</t>
  </si>
  <si>
    <t>One-dimensional Japanese Crossword</t>
  </si>
  <si>
    <t>Soldier and Bananas</t>
  </si>
  <si>
    <t>Bus to Udayland</t>
  </si>
  <si>
    <t>Cookies</t>
  </si>
  <si>
    <t>Second Order Statistics</t>
  </si>
  <si>
    <t>Nearly Lucky Number</t>
  </si>
  <si>
    <t>Playing with Dice</t>
  </si>
  <si>
    <t>A Good Contest</t>
  </si>
  <si>
    <t>Beautiful Year</t>
  </si>
  <si>
    <t>Far Relative’s Birthday Cake</t>
  </si>
  <si>
    <t>Mashmokh and Lights</t>
  </si>
  <si>
    <t>Triangular numbers</t>
  </si>
  <si>
    <t>Roma and Lucky Numbers</t>
  </si>
  <si>
    <t>Toy Army</t>
  </si>
  <si>
    <t>Levko and Table</t>
  </si>
  <si>
    <t>Cards</t>
  </si>
  <si>
    <t>Wizards' Duel</t>
  </si>
  <si>
    <t>Combination Lock</t>
  </si>
  <si>
    <t>Summer Camp</t>
  </si>
  <si>
    <t>Soft Drinking</t>
  </si>
  <si>
    <t>Coder</t>
  </si>
  <si>
    <t>GukiZ and Contest</t>
  </si>
  <si>
    <t>Circle Line</t>
  </si>
  <si>
    <t>Patrick and Shopping</t>
  </si>
  <si>
    <t>Choosing Teams</t>
  </si>
  <si>
    <t>Vanya and Cubes</t>
  </si>
  <si>
    <t>Insomnia cure</t>
  </si>
  <si>
    <t>Cakeminator</t>
  </si>
  <si>
    <t>Flag</t>
  </si>
  <si>
    <t>Cupboards</t>
  </si>
  <si>
    <t>Soroban</t>
  </si>
  <si>
    <t>Amusing Joke</t>
  </si>
  <si>
    <t>Lights Out</t>
  </si>
  <si>
    <t>Lunch Rush</t>
  </si>
  <si>
    <t>Duff and Meat</t>
  </si>
  <si>
    <t>Vanya and Cards</t>
  </si>
  <si>
    <t>Squats</t>
  </si>
  <si>
    <t>Arrival of the General</t>
  </si>
  <si>
    <t>Sinking Ship</t>
  </si>
  <si>
    <t>LLPS</t>
  </si>
  <si>
    <t>Candy Bags</t>
  </si>
  <si>
    <t>Game With Sticks</t>
  </si>
  <si>
    <t>Vasya and Socks</t>
  </si>
  <si>
    <t>Dima and Friends</t>
  </si>
  <si>
    <t>Nicholas and Permutation</t>
  </si>
  <si>
    <t>Toy Cars</t>
  </si>
  <si>
    <t>DZY Loves Hash</t>
  </si>
  <si>
    <t>HQ9+</t>
  </si>
  <si>
    <t>Holidays</t>
  </si>
  <si>
    <t>Dividing Orange</t>
  </si>
  <si>
    <t>Haiku</t>
  </si>
  <si>
    <t>System of Equations</t>
  </si>
  <si>
    <t>IQ test</t>
  </si>
  <si>
    <t>Contest</t>
  </si>
  <si>
    <t>Restoring Password</t>
  </si>
  <si>
    <t>Valera and Plates</t>
  </si>
  <si>
    <t>Minimum Difficulty</t>
  </si>
  <si>
    <t>Little Elephant and Function</t>
  </si>
  <si>
    <t>Collecting Beats is Fun</t>
  </si>
  <si>
    <t>Letter</t>
  </si>
  <si>
    <t>Kefa and First Steps</t>
  </si>
  <si>
    <t>Ilya and Bank Account</t>
  </si>
  <si>
    <t>Uncowed Forces</t>
  </si>
  <si>
    <t>Reconnaissance 2</t>
  </si>
  <si>
    <t>Lucky Ticket</t>
  </si>
  <si>
    <t>Chat room</t>
  </si>
  <si>
    <t>George and Sleep</t>
  </si>
  <si>
    <t>Ostap and Grasshopper</t>
  </si>
  <si>
    <t>The number of positions</t>
  </si>
  <si>
    <t>Table</t>
  </si>
  <si>
    <t>Tavas and Nafas</t>
  </si>
  <si>
    <t>Watermelon</t>
  </si>
  <si>
    <t>Let's Watch Football</t>
  </si>
  <si>
    <t>Initial Bet</t>
  </si>
  <si>
    <t>Saitama Destroys Hotel</t>
  </si>
  <si>
    <t>Queue on Bus Stop</t>
  </si>
  <si>
    <t>Bicycle Chain</t>
  </si>
  <si>
    <t>Little Elephant and Rozdil</t>
  </si>
  <si>
    <t>Amr and Music</t>
  </si>
  <si>
    <t>Marks</t>
  </si>
  <si>
    <t>Postcards and photos</t>
  </si>
  <si>
    <t>Business trip</t>
  </si>
  <si>
    <t>Drazil and Date</t>
  </si>
  <si>
    <t>Multiplication Table</t>
  </si>
  <si>
    <t>Exam</t>
  </si>
  <si>
    <t>Alena's Schedule</t>
  </si>
  <si>
    <t>Interview</t>
  </si>
  <si>
    <t>Lucky Division</t>
  </si>
  <si>
    <t>Appleman and Easy Task</t>
  </si>
  <si>
    <t>Vasya and Digital Root</t>
  </si>
  <si>
    <t>Parallelepiped</t>
  </si>
  <si>
    <t>Group of Students</t>
  </si>
  <si>
    <t>Joysticks</t>
  </si>
  <si>
    <t>Array</t>
  </si>
  <si>
    <t>Round House</t>
  </si>
  <si>
    <t>Lala Land and Apple Trees</t>
  </si>
  <si>
    <t>Autocomplete</t>
  </si>
  <si>
    <t>Digital Counter</t>
  </si>
  <si>
    <t>Life Without Zeros</t>
  </si>
  <si>
    <t>Study STL</t>
  </si>
  <si>
    <t>Petya and Countryside</t>
  </si>
  <si>
    <t>Bear and Finding Criminals</t>
  </si>
  <si>
    <t>Burglar and Matches</t>
  </si>
  <si>
    <t>Caisa and Pylons</t>
  </si>
  <si>
    <t>Sum of Digits</t>
  </si>
  <si>
    <t>Coins</t>
  </si>
  <si>
    <t>Effective Approach</t>
  </si>
  <si>
    <t>Easter Eggs</t>
  </si>
  <si>
    <t>Decoding</t>
  </si>
  <si>
    <t>Big Mod</t>
  </si>
  <si>
    <t>Combinations</t>
  </si>
  <si>
    <t>Pi</t>
  </si>
  <si>
    <t>Adding Reversed Numbers</t>
  </si>
  <si>
    <t>Don't use big integer class. Write simple array computations</t>
  </si>
  <si>
    <t>Taxi</t>
  </si>
  <si>
    <t>Can you get AC first submission?</t>
  </si>
  <si>
    <t>The Drunk Jailer</t>
  </si>
  <si>
    <t>Vanya and Lanterns</t>
  </si>
  <si>
    <t>Kuriyama Mirai's Stones</t>
  </si>
  <si>
    <t>Fence</t>
  </si>
  <si>
    <t>President's Office</t>
  </si>
  <si>
    <t>Lovely Palindromes</t>
  </si>
  <si>
    <t>Sort the Array</t>
  </si>
  <si>
    <t>Summer sell-off</t>
  </si>
  <si>
    <t>Colorful Field</t>
  </si>
  <si>
    <t>Mahmoud and a Triangle</t>
  </si>
  <si>
    <t>Tic-Tac-Toe ( I )</t>
  </si>
  <si>
    <t>Tic-Tac-Toe ( II )</t>
  </si>
  <si>
    <t>Knight Moves</t>
  </si>
  <si>
    <t>King's Path</t>
  </si>
  <si>
    <t>Bookworm</t>
  </si>
  <si>
    <t>TIMUS 1638</t>
  </si>
  <si>
    <t>UVA 10461</t>
  </si>
  <si>
    <t>Video Solution - Eng Moaz Rashad</t>
  </si>
  <si>
    <t>SPOJ POSTERIN</t>
  </si>
  <si>
    <t>Students and Shoelaces</t>
  </si>
  <si>
    <t>Dreamoon and WiFi</t>
  </si>
  <si>
    <t>Chat Online</t>
  </si>
  <si>
    <t>Olympic Medal</t>
  </si>
  <si>
    <t>Filya and Homework</t>
  </si>
  <si>
    <t>Inna and New Matrix of Candies</t>
  </si>
  <si>
    <t>Steps</t>
  </si>
  <si>
    <t>Growing Mushrooms</t>
  </si>
  <si>
    <t>Escape</t>
  </si>
  <si>
    <t>Review - Recursion + Solve excersies</t>
  </si>
  <si>
    <t>Review - Recursion - Don't feel bad for missing half of it</t>
  </si>
  <si>
    <t>Vacations</t>
  </si>
  <si>
    <t>Woodcutters</t>
  </si>
  <si>
    <t>Barcode</t>
  </si>
  <si>
    <t>Continents</t>
  </si>
  <si>
    <t>Brownie Points</t>
  </si>
  <si>
    <t>Hanoi Tower</t>
  </si>
  <si>
    <t>Roma and Changing Signs</t>
  </si>
  <si>
    <t>Bear and Strings</t>
  </si>
  <si>
    <t>I.O.U.</t>
  </si>
  <si>
    <t>Jeff and Periods</t>
  </si>
  <si>
    <t>Meeting</t>
  </si>
  <si>
    <t>Chocolate</t>
  </si>
  <si>
    <t>Easy Number Challenge</t>
  </si>
  <si>
    <t>Han Solo and Lazer Gun</t>
  </si>
  <si>
    <t>Video Solution - Eng Amr Fahmy</t>
  </si>
  <si>
    <t>Physics Practical</t>
  </si>
  <si>
    <t>Two Buttons</t>
  </si>
  <si>
    <t>Intersecting Lines</t>
  </si>
  <si>
    <t>The Stern-Brocot Number</t>
  </si>
  <si>
    <t>Mr. Kitayuta's Colorful Graph</t>
  </si>
  <si>
    <t>DZY Loves Chemistry</t>
  </si>
  <si>
    <t>Video Solution - Eng Hussein Hesham</t>
  </si>
  <si>
    <t>Kolya and Tanya</t>
  </si>
  <si>
    <t>Suffix Structures</t>
  </si>
  <si>
    <t>Complete the Word</t>
  </si>
  <si>
    <t>Sea and Islands</t>
  </si>
  <si>
    <t>Hopscotch</t>
  </si>
  <si>
    <t>Valera and Contest</t>
  </si>
  <si>
    <t>Bear and Friendship Condition</t>
  </si>
  <si>
    <t>Preparing Olympiad</t>
  </si>
  <si>
    <t>Highways</t>
  </si>
  <si>
    <t>ACM contest and Blackout</t>
  </si>
  <si>
    <t>Virtual Friends</t>
  </si>
  <si>
    <t>Arctic Network</t>
  </si>
  <si>
    <t>Trees on the level</t>
  </si>
  <si>
    <t>Final Standings</t>
  </si>
  <si>
    <t>Farm</t>
  </si>
  <si>
    <t>Mashmokh and Tokens</t>
  </si>
  <si>
    <t>Approximating a Constant Range</t>
  </si>
  <si>
    <t>Gena's Code</t>
  </si>
  <si>
    <t>Video Solution - Eng Khaled Mohamed</t>
  </si>
  <si>
    <t>OR in Matrix</t>
  </si>
  <si>
    <t xml:space="preserve">Video Solution - Eng Mohamed Khaled </t>
  </si>
  <si>
    <t>Fox And Two Dots</t>
  </si>
  <si>
    <t>Routine Problem</t>
  </si>
  <si>
    <t>Vasya and Wrestling</t>
  </si>
  <si>
    <t>Hamming Distance Sum</t>
  </si>
  <si>
    <t>Wet Shark and Bishops</t>
  </si>
  <si>
    <t>Kefa and Company</t>
  </si>
  <si>
    <t>Tavas and SaDDas</t>
  </si>
  <si>
    <t>Minimum Ternary String</t>
  </si>
  <si>
    <t>Painting Eggs</t>
  </si>
  <si>
    <t>Pasha Maximizes</t>
  </si>
  <si>
    <t>Little Girl and Game</t>
  </si>
  <si>
    <t>Pasha and String</t>
  </si>
  <si>
    <t>Booking System</t>
  </si>
  <si>
    <t>Vanya and Exams</t>
  </si>
  <si>
    <t>The Skyline Problem</t>
  </si>
  <si>
    <t>Hanoi Tower Troubles !</t>
  </si>
  <si>
    <t>Maze Exploration</t>
  </si>
  <si>
    <t>IP-TV</t>
  </si>
  <si>
    <t>UVA 1174</t>
  </si>
  <si>
    <t>Devu, the Dumb Guy</t>
  </si>
  <si>
    <t>Find The Bone</t>
  </si>
  <si>
    <t>Regular Bracket Sequence</t>
  </si>
  <si>
    <t>Inbox (100500)</t>
  </si>
  <si>
    <t>Different is Good</t>
  </si>
  <si>
    <t>Permutation</t>
  </si>
  <si>
    <t>Little Elephant and Magic Square</t>
  </si>
  <si>
    <t>Airport</t>
  </si>
  <si>
    <t>Cormen --- The Best Friend Of a Man</t>
  </si>
  <si>
    <t>Prison Transfer</t>
  </si>
  <si>
    <t>A and B and Compilation Errors</t>
  </si>
  <si>
    <t>Game of Robots</t>
  </si>
  <si>
    <t>African Crossword</t>
  </si>
  <si>
    <t>Cows and Poker Game</t>
  </si>
  <si>
    <t>Find Marble</t>
  </si>
  <si>
    <t>Interesting drink</t>
  </si>
  <si>
    <t>Megacity</t>
  </si>
  <si>
    <t>Beautiful Paintings</t>
  </si>
  <si>
    <t>Ilya and Queries</t>
  </si>
  <si>
    <t>Code Parsing</t>
  </si>
  <si>
    <t>Hungry Sequence</t>
  </si>
  <si>
    <t>Chloe and the sequence</t>
  </si>
  <si>
    <t>Luxurious Houses</t>
  </si>
  <si>
    <t>Settlers' Training</t>
  </si>
  <si>
    <t>Far Relative’s Problem</t>
  </si>
  <si>
    <t>Wilbur and Array</t>
  </si>
  <si>
    <t>Text Document Analysis</t>
  </si>
  <si>
    <t>Shower Line</t>
  </si>
  <si>
    <t>Misha and Changing Handles</t>
  </si>
  <si>
    <t>Coat of Anticubism</t>
  </si>
  <si>
    <t>Ternary Logic</t>
  </si>
  <si>
    <t>Counting Rhombi</t>
  </si>
  <si>
    <t>Pashmak and Flowers</t>
  </si>
  <si>
    <t>The Monster and the Squirrel</t>
  </si>
  <si>
    <t>The Fibonacci Segment</t>
  </si>
  <si>
    <t>Spider Man</t>
  </si>
  <si>
    <t>Little Robber Girl's Zoo</t>
  </si>
  <si>
    <t>Unary</t>
  </si>
  <si>
    <t>Canvas Frames</t>
  </si>
  <si>
    <t>Ohana Cleans Up</t>
  </si>
  <si>
    <t>Garland</t>
  </si>
  <si>
    <t>Petya and Staircases</t>
  </si>
  <si>
    <t>Equidistant String</t>
  </si>
  <si>
    <t>Vanya and Food Processor</t>
  </si>
  <si>
    <t>Calendar</t>
  </si>
  <si>
    <t>Amr and Pins</t>
  </si>
  <si>
    <t>Polo the Penguin and Matrix</t>
  </si>
  <si>
    <t>George and Round</t>
  </si>
  <si>
    <t>Alyona and flowers</t>
  </si>
  <si>
    <t>Urbanization</t>
  </si>
  <si>
    <t>Testing Pants for Sadness</t>
  </si>
  <si>
    <t>Cells Not Under Attack</t>
  </si>
  <si>
    <t>Vanya and Books</t>
  </si>
  <si>
    <t>Worms</t>
  </si>
  <si>
    <t>Fortune Telling</t>
  </si>
  <si>
    <t>Walking in the Rain</t>
  </si>
  <si>
    <t>Dima and To-do List</t>
  </si>
  <si>
    <t>Sail</t>
  </si>
  <si>
    <t>Fox and Cross</t>
  </si>
  <si>
    <t>Rebranding</t>
  </si>
  <si>
    <t>Increase and Decrease</t>
  </si>
  <si>
    <t>Alyona and Mex</t>
  </si>
  <si>
    <t>Berland National Library</t>
  </si>
  <si>
    <t>Art Union</t>
  </si>
  <si>
    <t>BerSU Ball</t>
  </si>
  <si>
    <t>Random Teams</t>
  </si>
  <si>
    <t>Friends</t>
  </si>
  <si>
    <t>War of the Corporations</t>
  </si>
  <si>
    <t>Road Construction</t>
  </si>
  <si>
    <t>Binary Number</t>
  </si>
  <si>
    <t>Before an Exam</t>
  </si>
  <si>
    <t>Running Student</t>
  </si>
  <si>
    <t>Anton and currency you all know</t>
  </si>
  <si>
    <t>Phone Numbers</t>
  </si>
  <si>
    <t>DON'T Skip colored problems. Don't skip others unless a block is really easy for you</t>
  </si>
  <si>
    <r>
      <rPr>
        <sz val="10"/>
        <rFont val="arial,sans,sans-serif"/>
      </rPr>
      <t xml:space="preserve">Remove the given link and write a comment. Start your comment with a classification for the problem: </t>
    </r>
    <r>
      <rPr>
        <b/>
        <sz val="10"/>
        <rFont val="arial,sans,sans-serif"/>
      </rPr>
      <t>Useless, repeated idea, boring, normal, good problem, interesting problem or important problem</t>
    </r>
    <r>
      <rPr>
        <sz val="10"/>
        <rFont val="arial,sans,sans-serif"/>
      </rPr>
      <t>.</t>
    </r>
  </si>
  <si>
    <t>Drazil and Factorial</t>
  </si>
  <si>
    <t>Lucky Permutation Triple</t>
  </si>
  <si>
    <t>Soldier and Cards</t>
  </si>
  <si>
    <t>Watchmen</t>
  </si>
  <si>
    <t>Fox Dividing Cheese</t>
  </si>
  <si>
    <t>Duff in Love</t>
  </si>
  <si>
    <t>Twin Primes</t>
  </si>
  <si>
    <t xml:space="preserve">Summation of Four </t>
  </si>
  <si>
    <t>The Lottery</t>
  </si>
  <si>
    <t>Hamburgers</t>
  </si>
  <si>
    <t>Mint</t>
  </si>
  <si>
    <t>BITMAP - Bitmap</t>
  </si>
  <si>
    <t>UVA 10843</t>
  </si>
  <si>
    <t>The Child and Set</t>
  </si>
  <si>
    <t>Tanya and Postcard</t>
  </si>
  <si>
    <t>Greg and Array</t>
  </si>
  <si>
    <t>The World is a Theatre</t>
  </si>
  <si>
    <t>Trains</t>
  </si>
  <si>
    <t>Semifinals</t>
  </si>
  <si>
    <t>Towers</t>
  </si>
  <si>
    <t>To Carry or not to Carry</t>
  </si>
  <si>
    <t>Beat the Spread!</t>
  </si>
  <si>
    <t>Summation of Polynomials</t>
  </si>
  <si>
    <t>Polly the Polynomial</t>
  </si>
  <si>
    <t>R U Kidding Mr. Feynman?</t>
  </si>
  <si>
    <t>Wandering Queen</t>
  </si>
  <si>
    <t>Searching for Graph</t>
  </si>
  <si>
    <t>Flying Saucer Segments</t>
  </si>
  <si>
    <t>Vasya and Petya's Game</t>
  </si>
  <si>
    <t>Round Table Knights</t>
  </si>
  <si>
    <t>Kefa and Park</t>
  </si>
  <si>
    <t>Knight Tournament</t>
  </si>
  <si>
    <t>Special Offer! Super Price 999 Bourles!</t>
  </si>
  <si>
    <t>Graph Coloring</t>
  </si>
  <si>
    <t>23 out of 5</t>
  </si>
  <si>
    <t>8 Queens Chess Problem</t>
  </si>
  <si>
    <t>Assemble</t>
  </si>
  <si>
    <t>SPOJ FUNPROB</t>
  </si>
  <si>
    <t>Magic Formulas</t>
  </si>
  <si>
    <t>Pythagorean Triples</t>
  </si>
  <si>
    <t>Gerald's Hexagon</t>
  </si>
  <si>
    <t>Points on Line</t>
  </si>
  <si>
    <t>Find Maximum</t>
  </si>
  <si>
    <t>Jzzhu and Sequences</t>
  </si>
  <si>
    <t>Simple Game</t>
  </si>
  <si>
    <t>Prime Matrix</t>
  </si>
  <si>
    <t>Vacation</t>
  </si>
  <si>
    <t>Explained in the tutorial videos</t>
  </si>
  <si>
    <t>Dividing coins</t>
  </si>
  <si>
    <t>SRM149-D1-500</t>
  </si>
  <si>
    <t>SRM536-D2-1000</t>
  </si>
  <si>
    <t>The Blocks Problem</t>
  </si>
  <si>
    <t>Sol</t>
  </si>
  <si>
    <t>Divisibility</t>
  </si>
  <si>
    <t>UVA 11628</t>
  </si>
  <si>
    <t>Rational Resistance</t>
  </si>
  <si>
    <t>k-Multiple Free Set</t>
  </si>
  <si>
    <t>Polycarpus' Dice</t>
  </si>
  <si>
    <t>Print Check</t>
  </si>
  <si>
    <t>Playing Cubes</t>
  </si>
  <si>
    <t>T-primes</t>
  </si>
  <si>
    <t>Creating Palindrome</t>
  </si>
  <si>
    <t>Again Palindrome</t>
  </si>
  <si>
    <t>Exploring Pyramids</t>
  </si>
  <si>
    <t>Cutting Sticks</t>
  </si>
  <si>
    <t>Optimal Array Multiplication Sequence</t>
  </si>
  <si>
    <t>Accordian Patience</t>
  </si>
  <si>
    <t>Software CRC</t>
  </si>
  <si>
    <t>ZOJ 1200</t>
  </si>
  <si>
    <t>Maze</t>
  </si>
  <si>
    <t>Thor</t>
  </si>
  <si>
    <t>Hard problem</t>
  </si>
  <si>
    <t>Unusual Product</t>
  </si>
  <si>
    <t>Palindrome Transformation</t>
  </si>
  <si>
    <t>Removing Columns</t>
  </si>
  <si>
    <t>Crazy Town</t>
  </si>
  <si>
    <t>Queue</t>
  </si>
  <si>
    <t>Vika and Squares</t>
  </si>
  <si>
    <t>Cosmic Tables</t>
  </si>
  <si>
    <t>Prime Factors</t>
  </si>
  <si>
    <t>Mr. Azad and his Son</t>
  </si>
  <si>
    <t>Perfect P-th Powers</t>
  </si>
  <si>
    <t>Prime Land</t>
  </si>
  <si>
    <t>UVA 10920</t>
  </si>
  <si>
    <t>SRM274-D1-500</t>
  </si>
  <si>
    <t>Spreadsheet</t>
  </si>
  <si>
    <t>Text Editor</t>
  </si>
  <si>
    <t>Alternative Thinking</t>
  </si>
  <si>
    <t>Tennis Championship</t>
  </si>
  <si>
    <t>Guess Your Way Out!</t>
  </si>
  <si>
    <t>Biathlon</t>
  </si>
  <si>
    <t>Marina and Vasya</t>
  </si>
  <si>
    <t>Divide by Three</t>
  </si>
  <si>
    <t>Covered Path</t>
  </si>
  <si>
    <t>Facetook Priority Wall</t>
  </si>
  <si>
    <t>Treasure Hunt</t>
  </si>
  <si>
    <t>Video Solution - Eng Mohamed Khaled</t>
  </si>
  <si>
    <t>How Many Points of ?</t>
  </si>
  <si>
    <t>Factovisors</t>
  </si>
  <si>
    <t>Fractions Again?!</t>
  </si>
  <si>
    <t>Cut Ribbon</t>
  </si>
  <si>
    <t>Cows and Cars</t>
  </si>
  <si>
    <t>What is the Probability?</t>
  </si>
  <si>
    <t>Let’s Dance</t>
  </si>
  <si>
    <t>Probability|Given</t>
  </si>
  <si>
    <t>Another lottery</t>
  </si>
  <si>
    <t>Airplane</t>
  </si>
  <si>
    <t>UVA 11573</t>
  </si>
  <si>
    <t>Rankings</t>
  </si>
  <si>
    <t>Hacker, pack your bags!</t>
  </si>
  <si>
    <t>The Meaningless Game</t>
  </si>
  <si>
    <t>Star sky</t>
  </si>
  <si>
    <t>Diverse Permutation</t>
  </si>
  <si>
    <t>Replacement</t>
  </si>
  <si>
    <t>Homework</t>
  </si>
  <si>
    <t>Little Elephant and Problem</t>
  </si>
  <si>
    <t>Developing Skills</t>
  </si>
  <si>
    <t>Maxim and Discounts</t>
  </si>
  <si>
    <t>Fox and Box Accumulation</t>
  </si>
  <si>
    <t>Ice Skating</t>
  </si>
  <si>
    <t>Valera and Tubes</t>
  </si>
  <si>
    <t>Secret</t>
  </si>
  <si>
    <t>Key Task</t>
  </si>
  <si>
    <t>Cleaning Robot</t>
  </si>
  <si>
    <t>They Are Everywhere</t>
  </si>
  <si>
    <t>Monitor</t>
  </si>
  <si>
    <t>System Administrator</t>
  </si>
  <si>
    <t>Lucky Sum</t>
  </si>
  <si>
    <t>NP-Hard Problem</t>
  </si>
  <si>
    <t>Vladik and fractions</t>
  </si>
  <si>
    <t>Case of Matryoshkas</t>
  </si>
  <si>
    <t>Vanya and Label</t>
  </si>
  <si>
    <t>Exams</t>
  </si>
  <si>
    <t>Boredom</t>
  </si>
  <si>
    <t>Learning Languages</t>
  </si>
  <si>
    <t>Beautiful Sets of Points</t>
  </si>
  <si>
    <t>Strategic Defense Initiative</t>
  </si>
  <si>
    <t>String to Palindrome</t>
  </si>
  <si>
    <t>Trouble of 13-Dots</t>
  </si>
  <si>
    <t>Sagheer and Nubian Market</t>
  </si>
  <si>
    <t>Purification</t>
  </si>
  <si>
    <t>Division into Teams</t>
  </si>
  <si>
    <t>Disposition</t>
  </si>
  <si>
    <t>Mashmokh and Numbers</t>
  </si>
  <si>
    <t>Statues</t>
  </si>
  <si>
    <t>Inna and Huge Candy Matrix</t>
  </si>
  <si>
    <t>Anagram Search</t>
  </si>
  <si>
    <t>Ilya and Sticks</t>
  </si>
  <si>
    <t>Day at the Beach</t>
  </si>
  <si>
    <t>Appleman and Toastman</t>
  </si>
  <si>
    <t>Anya and Smartphone</t>
  </si>
  <si>
    <t>Little Girl and Maximum Sum</t>
  </si>
  <si>
    <t>Sereja and Algorithm</t>
  </si>
  <si>
    <t>The Child and Toy</t>
  </si>
  <si>
    <t>Perfect Pair</t>
  </si>
  <si>
    <t>Another Problem on Strings</t>
  </si>
  <si>
    <t>Socks</t>
  </si>
  <si>
    <t>Valera and Elections</t>
  </si>
  <si>
    <t>Win or Freeze</t>
  </si>
  <si>
    <t>Euclid's Game</t>
  </si>
  <si>
    <t>Pyramids</t>
  </si>
  <si>
    <t>Power of Cryptography</t>
  </si>
  <si>
    <t>SRM458-D2-500</t>
  </si>
  <si>
    <t>Is There A Second Way Left?</t>
  </si>
  <si>
    <t>SRM381-D2-1000</t>
  </si>
  <si>
    <t>Modified GCD</t>
  </si>
  <si>
    <t>Alyona and mex</t>
  </si>
  <si>
    <t>Wet Shark and Flowers</t>
  </si>
  <si>
    <t>Predict Outcome of the Game</t>
  </si>
  <si>
    <t>Balls and Boxes</t>
  </si>
  <si>
    <t>Alice and Bob</t>
  </si>
  <si>
    <t>Mahmoud and Ehab and the wrong algorithm</t>
  </si>
  <si>
    <t>Almost Equal</t>
  </si>
  <si>
    <t>Balls Game</t>
  </si>
  <si>
    <t>Magical Array</t>
  </si>
  <si>
    <t>Jugs</t>
  </si>
  <si>
    <t>Sending email</t>
  </si>
  <si>
    <t>Lift Hopping</t>
  </si>
  <si>
    <t>Shopping</t>
  </si>
  <si>
    <t>Ordering</t>
  </si>
  <si>
    <t>Karen and Coffee</t>
  </si>
  <si>
    <t>Bulls and Cows</t>
  </si>
  <si>
    <t>Xor-tree</t>
  </si>
  <si>
    <t>Median Smoothing</t>
  </si>
  <si>
    <t>Coloring Trees</t>
  </si>
  <si>
    <t>Clear Symmetry</t>
  </si>
  <si>
    <t>Sereja and Mirroring</t>
  </si>
  <si>
    <t>Restoring Painting</t>
  </si>
  <si>
    <t>Gleaming the Cubes</t>
  </si>
  <si>
    <t>Intersecting Line Segments</t>
  </si>
  <si>
    <t>The Circumference of the Circle</t>
  </si>
  <si>
    <t>Points in Figures: Rectangles and Circles</t>
  </si>
  <si>
    <t>Square Pegs And Round Holes</t>
  </si>
  <si>
    <t>UVA 453</t>
  </si>
  <si>
    <t>Divisibility of Factors</t>
  </si>
  <si>
    <t>SRM436-D2-500</t>
  </si>
  <si>
    <t>UVA 10525</t>
  </si>
  <si>
    <t>Prime Permutation</t>
  </si>
  <si>
    <t>Hometask</t>
  </si>
  <si>
    <t>Terse princess</t>
  </si>
  <si>
    <t>Hacking Cypher</t>
  </si>
  <si>
    <t>Dreamoon and Sums</t>
  </si>
  <si>
    <t>Try and Catch</t>
  </si>
  <si>
    <t>Primes or Palindromes?</t>
  </si>
  <si>
    <t>View Angle</t>
  </si>
  <si>
    <t>Little Pony and Sort by Shift</t>
  </si>
  <si>
    <t>Unidirectional TSP</t>
  </si>
  <si>
    <t>Make Palindrome</t>
  </si>
  <si>
    <t>Fast Food</t>
  </si>
  <si>
    <t>Palindromic Subsequence</t>
  </si>
  <si>
    <t>Gone Fishing</t>
  </si>
  <si>
    <t>Special Olympics</t>
  </si>
  <si>
    <t>Rings and Glue</t>
  </si>
  <si>
    <t>k-Tree</t>
  </si>
  <si>
    <t>Caesar's Legions</t>
  </si>
  <si>
    <t>SRM354-D2-1000</t>
  </si>
  <si>
    <t>SRM349-D1-500</t>
  </si>
  <si>
    <t>SPOJ TWINSNOW</t>
  </si>
  <si>
    <t>SPOJ FACENEMY</t>
  </si>
  <si>
    <t>No to Palindromes!</t>
  </si>
  <si>
    <t>Triangle</t>
  </si>
  <si>
    <t>To Add or Not to Add</t>
  </si>
  <si>
    <t>Number of Ways</t>
  </si>
  <si>
    <t>Magical Boxes</t>
  </si>
  <si>
    <t>Find Pair</t>
  </si>
  <si>
    <t>Multitasking</t>
  </si>
  <si>
    <t>Non-square Equation</t>
  </si>
  <si>
    <t>Frogger</t>
  </si>
  <si>
    <t xml:space="preserve">Identifying Concurrent </t>
  </si>
  <si>
    <t>Numbering Paths</t>
  </si>
  <si>
    <t>Jack Straws</t>
  </si>
  <si>
    <t>Longest Match</t>
  </si>
  <si>
    <t>Isolated Segments</t>
  </si>
  <si>
    <t>Counting</t>
  </si>
  <si>
    <t>Mafia</t>
  </si>
  <si>
    <t>Sereja and Prefixes</t>
  </si>
  <si>
    <t>About Bacteria</t>
  </si>
  <si>
    <t>DNA Alignment</t>
  </si>
  <si>
    <t>Geometric Progression</t>
  </si>
  <si>
    <t>Watering Flowers</t>
  </si>
  <si>
    <t>Quiz</t>
  </si>
  <si>
    <t>Secret Combination</t>
  </si>
  <si>
    <t>MUH and Important Things</t>
  </si>
  <si>
    <t>Lucky Mask</t>
  </si>
  <si>
    <t>PT07Z</t>
  </si>
  <si>
    <t>Roads in the North</t>
  </si>
  <si>
    <t>Subway tree systems</t>
  </si>
  <si>
    <t>Shaass and Lights</t>
  </si>
  <si>
    <t>Journey</t>
  </si>
  <si>
    <t>Captain Marmot</t>
  </si>
  <si>
    <t>The Big Race</t>
  </si>
  <si>
    <t>Molly's Chemicals</t>
  </si>
  <si>
    <t>Anatoly and Cockroaches</t>
  </si>
  <si>
    <t>Opposites Attract</t>
  </si>
  <si>
    <t>Railway</t>
  </si>
  <si>
    <t>Factorial Factors</t>
  </si>
  <si>
    <t>Wifi Access</t>
  </si>
  <si>
    <t>Lining Up</t>
  </si>
  <si>
    <t>Pouring water</t>
  </si>
  <si>
    <t>SRM321-D1-500</t>
  </si>
  <si>
    <t>See Rushiose's code in arena summary</t>
  </si>
  <si>
    <t>God, Save me</t>
  </si>
  <si>
    <t>SRM577-D1-250</t>
  </si>
  <si>
    <t>Checkposts</t>
  </si>
  <si>
    <t>Literature Lesson</t>
  </si>
  <si>
    <t>Arpa's loud Owf and Mehrdad's evil plan</t>
  </si>
  <si>
    <t>Parity Game</t>
  </si>
  <si>
    <t>Beauty Pageant</t>
  </si>
  <si>
    <t>Heroes</t>
  </si>
  <si>
    <t>Dynasty Puzzles</t>
  </si>
  <si>
    <t>Buns</t>
  </si>
  <si>
    <t>Counting Kangaroos is Fun</t>
  </si>
  <si>
    <t>Corporation Mail</t>
  </si>
  <si>
    <t>Matrix</t>
  </si>
  <si>
    <t>Pick up sticks</t>
  </si>
  <si>
    <t>Little Elephant and Interval</t>
  </si>
  <si>
    <t>Sereja and Contest</t>
  </si>
  <si>
    <t>Vasya and Robot</t>
  </si>
  <si>
    <t>Hockey</t>
  </si>
  <si>
    <t>Petya and File System</t>
  </si>
  <si>
    <t>Kyoya and Colored Balls</t>
  </si>
  <si>
    <t>George and Job</t>
  </si>
  <si>
    <t>Harmony Analysis</t>
  </si>
  <si>
    <t>Anton and Making Potions</t>
  </si>
  <si>
    <t>Table Decorations</t>
  </si>
  <si>
    <t>Recycling Bottles</t>
  </si>
  <si>
    <t>Message</t>
  </si>
  <si>
    <t>Wilbur and Points</t>
  </si>
  <si>
    <t>Cows and Sequence</t>
  </si>
  <si>
    <t>Ladder</t>
  </si>
  <si>
    <t>Not Wool Sequences</t>
  </si>
  <si>
    <t>Anagram</t>
  </si>
  <si>
    <t>DZY Loves Sequences</t>
  </si>
  <si>
    <t>DZY Loves Physics</t>
  </si>
  <si>
    <t>Misha and Forest</t>
  </si>
  <si>
    <t>Jzzhu and Chocolate</t>
  </si>
  <si>
    <t>Cinema</t>
  </si>
  <si>
    <t>Report</t>
  </si>
  <si>
    <t>Bear and Prime Numbers</t>
  </si>
  <si>
    <t>Robbery</t>
  </si>
  <si>
    <t>Vasya and Basketball</t>
  </si>
  <si>
    <t>Vanya and Scales</t>
  </si>
  <si>
    <t>Pashmak and Buses</t>
  </si>
  <si>
    <t>Fancy Number</t>
  </si>
  <si>
    <t>Dividing Island</t>
  </si>
  <si>
    <t>Flowers</t>
  </si>
  <si>
    <t>Dima and Bacteria</t>
  </si>
  <si>
    <t>Tourist Problem</t>
  </si>
  <si>
    <t>Lorenzo Von Matterhorn</t>
  </si>
  <si>
    <t>Restore Graph</t>
  </si>
  <si>
    <t>SRM569-D2-1000</t>
  </si>
  <si>
    <t>UVA 12869</t>
  </si>
  <si>
    <t>Interval Product</t>
  </si>
  <si>
    <t>Potentiometers</t>
  </si>
  <si>
    <t>Halt The War</t>
  </si>
  <si>
    <t>Counting Primes</t>
  </si>
  <si>
    <t>Horrible Queries</t>
  </si>
  <si>
    <t>Light Switching</t>
  </si>
  <si>
    <t>Circular RMQ</t>
  </si>
  <si>
    <t>A Famous City</t>
  </si>
  <si>
    <t>RMQ with Shifts</t>
  </si>
  <si>
    <t>R2D2 and Droid Army</t>
  </si>
  <si>
    <t>Use rmq</t>
  </si>
  <si>
    <t>Ahoy, Pirates!</t>
  </si>
  <si>
    <t>Brackets</t>
  </si>
  <si>
    <t>Present</t>
  </si>
  <si>
    <t>Mirror, Mirror</t>
  </si>
  <si>
    <t>Maximum Sum</t>
  </si>
  <si>
    <t>SRM297-D1-500</t>
  </si>
  <si>
    <t>SRM441-D1-250</t>
  </si>
  <si>
    <t>SPOJ KOMPICI</t>
  </si>
  <si>
    <t>Quantity of Strings</t>
  </si>
  <si>
    <t>Eternal Victory</t>
  </si>
  <si>
    <t>Array Division</t>
  </si>
  <si>
    <t>SRM428-D2-1000</t>
  </si>
  <si>
    <t>SRM513-D2-1000</t>
  </si>
  <si>
    <t>SRM292-D1-500</t>
  </si>
  <si>
    <t>SRM405-D2-1000</t>
  </si>
  <si>
    <t>Hiring Staff</t>
  </si>
  <si>
    <t>Tavas and Karafs</t>
  </si>
  <si>
    <t>Permutations</t>
  </si>
  <si>
    <t>Spider's Web</t>
  </si>
  <si>
    <t>Chips</t>
  </si>
  <si>
    <t>Vasya and String</t>
  </si>
  <si>
    <t>The SetStack Computer</t>
  </si>
  <si>
    <t>Database</t>
  </si>
  <si>
    <t>Can you answer these queries I</t>
  </si>
  <si>
    <t>Can you answer these queries III</t>
  </si>
  <si>
    <t>SPOJ ABA12E</t>
  </si>
  <si>
    <t>UVA 11825</t>
  </si>
  <si>
    <t>UVA 12325</t>
  </si>
  <si>
    <t>UVA 12047</t>
  </si>
  <si>
    <t>UVA 10705</t>
  </si>
  <si>
    <t>Mahmoud and a Dictionary</t>
  </si>
  <si>
    <t>An overnight dance in discotheque</t>
  </si>
  <si>
    <t>Polyline</t>
  </si>
  <si>
    <t>SPOJ BIA</t>
  </si>
  <si>
    <t>Plant</t>
  </si>
  <si>
    <t>Reberland Linguistics</t>
  </si>
  <si>
    <t>Lucky Permutation</t>
  </si>
  <si>
    <t>Dice Throwing</t>
  </si>
  <si>
    <t>SRM339-D1-500</t>
  </si>
  <si>
    <t>Collecting Bugs</t>
  </si>
  <si>
    <t>France '98</t>
  </si>
  <si>
    <t>Tribbles</t>
  </si>
  <si>
    <t>Tennis contest</t>
  </si>
  <si>
    <t>Water Falls</t>
  </si>
  <si>
    <t>Number Sequence</t>
  </si>
  <si>
    <t>Is It A Tree?</t>
  </si>
  <si>
    <t>Help R2-D2!</t>
  </si>
  <si>
    <t>UVA 11997</t>
  </si>
  <si>
    <t>SRM456-D2-1000</t>
  </si>
  <si>
    <t>Andrey and Problem</t>
  </si>
  <si>
    <t>Three Logos</t>
  </si>
  <si>
    <t>Good Sequences</t>
  </si>
  <si>
    <t>Party</t>
  </si>
  <si>
    <t>Cupboard and Balloons</t>
  </si>
  <si>
    <t>Cycles</t>
  </si>
  <si>
    <t>Pebble Solitaire</t>
  </si>
  <si>
    <t>Kefa and Dishes</t>
  </si>
  <si>
    <t>Assignments</t>
  </si>
  <si>
    <t>Count the Faces.</t>
  </si>
  <si>
    <t>LCM Cardinality</t>
  </si>
  <si>
    <t>Robot Rapping Results Report time</t>
  </si>
  <si>
    <t>Wavio Sequence</t>
  </si>
  <si>
    <t>UVA 10342</t>
  </si>
  <si>
    <t>Directed Roads</t>
  </si>
  <si>
    <t>Block Tower</t>
  </si>
  <si>
    <t>A and B and Interesting Substrings</t>
  </si>
  <si>
    <t>As Fast As Possible</t>
  </si>
  <si>
    <t>Chloe and pleasant prizes</t>
  </si>
  <si>
    <t>Roads in Berland</t>
  </si>
  <si>
    <t>Photographer</t>
  </si>
  <si>
    <t>LCM Challenge</t>
  </si>
  <si>
    <t>Search in the dictionary!</t>
  </si>
  <si>
    <t>Disk Tree</t>
  </si>
  <si>
    <t>Phone List</t>
  </si>
  <si>
    <t>Cellphone Typing</t>
  </si>
  <si>
    <t>Vasiliy's Multiset</t>
  </si>
  <si>
    <t>Exchange Rates</t>
  </si>
  <si>
    <t>Equation</t>
  </si>
  <si>
    <t>Safe</t>
  </si>
  <si>
    <t>Central Post Office</t>
  </si>
  <si>
    <t>Permalex</t>
  </si>
  <si>
    <t>Volleyball</t>
  </si>
  <si>
    <t>Lazy Student</t>
  </si>
  <si>
    <t>Divisible by Seven</t>
  </si>
  <si>
    <t>Devu and Partitioning of the Array</t>
  </si>
  <si>
    <t>Arthur and Table</t>
  </si>
  <si>
    <t>Oulipo</t>
  </si>
  <si>
    <t>A Needle in the Haystack</t>
  </si>
  <si>
    <t>Finding the Tesserect</t>
  </si>
  <si>
    <t>Period</t>
  </si>
  <si>
    <t>Prefixes and Suffixes</t>
  </si>
  <si>
    <t>Tavas and Malekas</t>
  </si>
  <si>
    <t>Be Efficient</t>
  </si>
  <si>
    <t>Vertex Cover</t>
  </si>
  <si>
    <t>First Digit Law</t>
  </si>
  <si>
    <t>UVA 10174</t>
  </si>
  <si>
    <t>UVA 1333</t>
  </si>
  <si>
    <t>SPOJ MSKYCODE</t>
  </si>
  <si>
    <t>LiveArchive 8015</t>
  </si>
  <si>
    <t>Robin Hood</t>
  </si>
  <si>
    <t>End of Exams</t>
  </si>
  <si>
    <t>Equivalent Strings</t>
  </si>
  <si>
    <t>Count Good Substrings</t>
  </si>
  <si>
    <t>Mushroom Scientists</t>
  </si>
  <si>
    <t>Analyzing Polyline</t>
  </si>
  <si>
    <t>Bear and Prime 100</t>
  </si>
  <si>
    <t>Bachet's Game</t>
  </si>
  <si>
    <t>SRM534-D1-250</t>
  </si>
  <si>
    <t>SRM522-D1-250</t>
  </si>
  <si>
    <t>SRM228-D1-500</t>
  </si>
  <si>
    <t>Bag of mice</t>
  </si>
  <si>
    <t>MELE3</t>
  </si>
  <si>
    <t>Roads</t>
  </si>
  <si>
    <t>The Tree Root</t>
  </si>
  <si>
    <t>SKYLINE</t>
  </si>
  <si>
    <t>Ordering the Soldiers</t>
  </si>
  <si>
    <t>Playlist</t>
  </si>
  <si>
    <t>SRM481-D1-500</t>
  </si>
  <si>
    <t>Little Girl and Maximum XOR</t>
  </si>
  <si>
    <t>Two Strings</t>
  </si>
  <si>
    <t>Big Maximum Sum</t>
  </si>
  <si>
    <t>SPOJ BRCKTS2</t>
  </si>
  <si>
    <t>UVA 10888</t>
  </si>
  <si>
    <t>Football Championship</t>
  </si>
  <si>
    <t>Given Length and Sum of Digits...</t>
  </si>
  <si>
    <t>Trip Routing</t>
  </si>
  <si>
    <t>Scheduling Lectures</t>
  </si>
  <si>
    <t>Weird Function</t>
  </si>
  <si>
    <t>The ? 1 ? 2 ? ... ? n = k problem</t>
  </si>
  <si>
    <t>Dictionary Subsequences</t>
  </si>
  <si>
    <t>Jimmi's Riddles</t>
  </si>
  <si>
    <t>Friends and Subsequences</t>
  </si>
  <si>
    <t>Sum of Squares with Segment Tree</t>
  </si>
  <si>
    <t>Travel in Desert</t>
  </si>
  <si>
    <t>Almost Union-Find</t>
  </si>
  <si>
    <t>UVA 11987</t>
  </si>
  <si>
    <t>SRM537-D2-1000</t>
  </si>
  <si>
    <t>SRM453.5-D2-1000</t>
  </si>
  <si>
    <t>SPOJ PARSUMS</t>
  </si>
  <si>
    <t>Cow Program</t>
  </si>
  <si>
    <t>Random Task</t>
  </si>
  <si>
    <t>Greg and Graph</t>
  </si>
  <si>
    <t>Russian Roulette</t>
  </si>
  <si>
    <t>Bicycle Race</t>
  </si>
  <si>
    <t>Greenhouse Effect</t>
  </si>
  <si>
    <t>Pocket Book</t>
  </si>
  <si>
    <t>Levko and Array Recovery</t>
  </si>
  <si>
    <t>Ice Cave</t>
  </si>
  <si>
    <t>The Errant Physicist</t>
  </si>
  <si>
    <t>Brackets sequence</t>
  </si>
  <si>
    <t>Unique World</t>
  </si>
  <si>
    <t>Bad Luck Island</t>
  </si>
  <si>
    <t>Shopping Trip</t>
  </si>
  <si>
    <t>UVA 11284</t>
  </si>
  <si>
    <t>Hotel booking</t>
  </si>
  <si>
    <t>UVA 11635</t>
  </si>
  <si>
    <t>Hit Ball</t>
  </si>
  <si>
    <t>Sereja ans Anagrams</t>
  </si>
  <si>
    <t>Choosing Capital for Treeland</t>
  </si>
  <si>
    <t>Coloring Brackets</t>
  </si>
  <si>
    <t>Cycle in Graph</t>
  </si>
  <si>
    <t>SRM319-D1-500</t>
  </si>
  <si>
    <t>Fixing Typos</t>
  </si>
  <si>
    <t>Cutting Figure</t>
  </si>
  <si>
    <t>Escape from Stones</t>
  </si>
  <si>
    <t>SRM278-D2-500</t>
  </si>
  <si>
    <t>Trees on My Island</t>
  </si>
  <si>
    <t>Packing polygons</t>
  </si>
  <si>
    <t>LIVEARCHIVE 2831</t>
  </si>
  <si>
    <t>Video Surveillance</t>
  </si>
  <si>
    <t>SRM514-D1-500</t>
  </si>
  <si>
    <t>SRM473-D1-500</t>
  </si>
  <si>
    <t>SRM555-D2-1000</t>
  </si>
  <si>
    <t>UVA 557</t>
  </si>
  <si>
    <t>SRM285-D1-500</t>
  </si>
  <si>
    <t>Xrange's Pancakes</t>
  </si>
  <si>
    <t>SRM525-D1-500</t>
  </si>
  <si>
    <t>UVA 11648</t>
  </si>
  <si>
    <t>UVA 881</t>
  </si>
  <si>
    <t>UVA 11665</t>
  </si>
  <si>
    <t>TIMUS 1599</t>
  </si>
  <si>
    <t>Polygons</t>
  </si>
  <si>
    <t>Potholers</t>
  </si>
  <si>
    <t>Power Transmission</t>
  </si>
  <si>
    <t>Gopher II</t>
  </si>
  <si>
    <t>Software Allocation</t>
  </si>
  <si>
    <t>UVA 12168</t>
  </si>
  <si>
    <t>A Plug for UNIX</t>
  </si>
  <si>
    <t>Intergalactic Map</t>
  </si>
  <si>
    <t>UVA 1194</t>
  </si>
  <si>
    <t>Fence Obstacle Course</t>
  </si>
  <si>
    <t>River Crossing</t>
  </si>
  <si>
    <t>UVA 10514</t>
  </si>
  <si>
    <t>SRM368-D1-500</t>
  </si>
  <si>
    <t>SRM373-D2-1000</t>
  </si>
  <si>
    <t>ZOJ 2587</t>
  </si>
  <si>
    <t>UVA 10180</t>
  </si>
  <si>
    <t>UVA 1184</t>
  </si>
  <si>
    <t>UVA 670</t>
  </si>
  <si>
    <t>SRM558-D1-250</t>
  </si>
  <si>
    <t>SRM550-D2-1000</t>
  </si>
  <si>
    <t>TIMUS 1156</t>
  </si>
  <si>
    <t>The Bottom of a Graph</t>
  </si>
  <si>
    <t>Test</t>
  </si>
  <si>
    <t>SRM312-D1-500</t>
  </si>
  <si>
    <t>Theseus and labyrinth</t>
  </si>
  <si>
    <t>Cunning Gena</t>
  </si>
  <si>
    <t>Sabotage</t>
  </si>
  <si>
    <t>SRM352-D2-1000</t>
  </si>
  <si>
    <t>SRM608-D2-1000</t>
  </si>
  <si>
    <t>Gifts by the List</t>
  </si>
  <si>
    <t>DZY Loves Modification</t>
  </si>
  <si>
    <t>Prove</t>
  </si>
  <si>
    <t>Mike and Feet</t>
  </si>
  <si>
    <t>Special Grid</t>
  </si>
  <si>
    <t>Roman and Numbers</t>
  </si>
  <si>
    <t>Persistent Bookcase</t>
  </si>
  <si>
    <t>Regular Bridge</t>
  </si>
  <si>
    <t>Almost Arithmetical Progression</t>
  </si>
  <si>
    <t>Title</t>
  </si>
  <si>
    <t>Treasure</t>
  </si>
  <si>
    <t>Unique Attack</t>
  </si>
  <si>
    <t>End of Fun</t>
  </si>
  <si>
    <t>Grammar Evaluation</t>
  </si>
  <si>
    <t>Find the Winning Move</t>
  </si>
  <si>
    <t>Check the difficulty of problems</t>
  </si>
  <si>
    <t>Proving Equivalences</t>
  </si>
  <si>
    <t>DDF</t>
  </si>
  <si>
    <t>Dominos</t>
  </si>
  <si>
    <t>SRM419-D2-1000</t>
  </si>
  <si>
    <t>Winning Streak</t>
  </si>
  <si>
    <t>SRM391-D2-1000</t>
  </si>
  <si>
    <t>SRM465-D1-500</t>
  </si>
  <si>
    <t>UVA 10740</t>
  </si>
  <si>
    <t>UVA 12261</t>
  </si>
  <si>
    <t>LIVEARCHIVE 4008</t>
  </si>
  <si>
    <t>UVA 1342</t>
  </si>
  <si>
    <t>SPOJ FISHES</t>
  </si>
  <si>
    <t>UVA 11475</t>
  </si>
  <si>
    <t>Red-Green Towers</t>
  </si>
  <si>
    <t>Renting Bikes</t>
  </si>
  <si>
    <t>Lucky Number 2</t>
  </si>
  <si>
    <t>Tennis Game</t>
  </si>
  <si>
    <t>Bubble Sort Graph</t>
  </si>
  <si>
    <t>Upgrading Array</t>
  </si>
  <si>
    <t>ZOJ 3305</t>
  </si>
  <si>
    <t>Game</t>
  </si>
  <si>
    <t>Ciel and Robot</t>
  </si>
  <si>
    <t>Plus and Square Root</t>
  </si>
  <si>
    <t>Boxes in a Line</t>
  </si>
  <si>
    <t>SPOJ QUEST4</t>
  </si>
  <si>
    <t>Multifactorials</t>
  </si>
  <si>
    <t>Crimewave</t>
  </si>
  <si>
    <t>SRM545-D2-1000</t>
  </si>
  <si>
    <t>SRM495-D1-500</t>
  </si>
  <si>
    <t>Primitive Root</t>
  </si>
  <si>
    <t>Of Zorcs and Axes</t>
  </si>
  <si>
    <t>Connected Components</t>
  </si>
  <si>
    <t>AND Rounds</t>
  </si>
  <si>
    <t>Campus Roads</t>
  </si>
  <si>
    <t>The Child and Zoo</t>
  </si>
  <si>
    <t>SRM392-D1-1000</t>
  </si>
  <si>
    <t>UVA 12128</t>
  </si>
  <si>
    <t>Timus 1362</t>
  </si>
  <si>
    <t>SPOJ COCONUTS</t>
  </si>
  <si>
    <t>LIVEARCHIVE 4682</t>
  </si>
  <si>
    <t>Image Preview</t>
  </si>
  <si>
    <t>Maximum Xor Secondary</t>
  </si>
  <si>
    <t>Ilya and Roads</t>
  </si>
  <si>
    <t>Mr. Bender and Square</t>
  </si>
  <si>
    <t>Fish Weight</t>
  </si>
  <si>
    <t>T-decomposition</t>
  </si>
  <si>
    <t>Wizards and Huge Prize</t>
  </si>
  <si>
    <t>Dima and Salad</t>
  </si>
  <si>
    <t>Arbitrage</t>
  </si>
  <si>
    <t>Black Box</t>
  </si>
  <si>
    <t>Expressions</t>
  </si>
  <si>
    <t>Showstopper</t>
  </si>
  <si>
    <t>Tobo or not Tobo</t>
  </si>
  <si>
    <t>Sum-up the Primes</t>
  </si>
  <si>
    <t>Largest Rectangle in a Histogram</t>
  </si>
  <si>
    <t>UVA 663</t>
  </si>
  <si>
    <t>SRM531-D2-1000</t>
  </si>
  <si>
    <t>The Problem with the Problem Setter</t>
  </si>
  <si>
    <t>Psycho</t>
  </si>
  <si>
    <t>Minimal Ratio Tree</t>
  </si>
  <si>
    <t>RACING</t>
  </si>
  <si>
    <t>SRM470-D2-1000</t>
  </si>
  <si>
    <t>Pair of Numbers</t>
  </si>
  <si>
    <t>Nuts for nuts</t>
  </si>
  <si>
    <t>UVA 10944</t>
  </si>
  <si>
    <t>Probability</t>
  </si>
  <si>
    <t>SRM470-D1-500</t>
  </si>
  <si>
    <t>UVA 1218</t>
  </si>
  <si>
    <t>SPOJ IOPC1207</t>
  </si>
  <si>
    <t>AlgoRace</t>
  </si>
  <si>
    <t>Moodular Arithmetic</t>
  </si>
  <si>
    <t>Lucky Transformation</t>
  </si>
  <si>
    <t>Boring Partition</t>
  </si>
  <si>
    <t>Spongebob and Squares</t>
  </si>
  <si>
    <t>How many trees?</t>
  </si>
  <si>
    <t>UVA 10982</t>
  </si>
  <si>
    <t>Cthulhu</t>
  </si>
  <si>
    <t>Anya and Ghosts</t>
  </si>
  <si>
    <t>Square Subsets</t>
  </si>
  <si>
    <t>Angry Programmer</t>
  </si>
  <si>
    <t>The New Rule in Euphomia</t>
  </si>
  <si>
    <t>Multiples of 3</t>
  </si>
  <si>
    <t>SRM492-D2-1000</t>
  </si>
  <si>
    <t>March of the Penguins</t>
  </si>
  <si>
    <t>SRM447-D1-500</t>
  </si>
  <si>
    <t>The Game of 31</t>
  </si>
  <si>
    <t>Can you answer these queries IV</t>
  </si>
  <si>
    <t>Area</t>
  </si>
  <si>
    <t>Volatile Kite</t>
  </si>
  <si>
    <t>Antifloyd</t>
  </si>
  <si>
    <t>Messenger</t>
  </si>
  <si>
    <t>SRM144-D1-500</t>
  </si>
  <si>
    <t>SRM509-D1-500</t>
  </si>
  <si>
    <t>Infinite Maze</t>
  </si>
  <si>
    <t>Jeff and Furik</t>
  </si>
  <si>
    <t>Sagheer and Kindergarten</t>
  </si>
  <si>
    <t>Dispute</t>
  </si>
  <si>
    <t>Remainders Game</t>
  </si>
  <si>
    <t>ff</t>
  </si>
  <si>
    <t>1-2 line Comments about your approach
 is interesting?</t>
  </si>
  <si>
    <t>Mostafa Category</t>
  </si>
  <si>
    <t>Category 
Code</t>
  </si>
  <si>
    <t>Level</t>
  </si>
  <si>
    <t>Quality</t>
  </si>
  <si>
    <t>This page has the SAME problems in (CF-A to CF-D3). It has problems categories, levels and quality (last 4 columns)</t>
  </si>
  <si>
    <t>Some trainees don't like to train using Blind Order style (CF-A to CF-D3) and prefer Topics-Based style</t>
  </si>
  <si>
    <t>This sheet page is another training style. Determine a category, go ahead and solve in order. Read Info Page. Read end of this page.</t>
  </si>
  <si>
    <t>adhoc, NA</t>
  </si>
  <si>
    <t>adhoc</t>
  </si>
  <si>
    <t>adhoc, calender, leap year</t>
  </si>
  <si>
    <t>p1</t>
  </si>
  <si>
    <t>adhoc, stable sort</t>
  </si>
  <si>
    <t>adhoc, stl</t>
  </si>
  <si>
    <t>adhock, prefix sum</t>
  </si>
  <si>
    <t>p2</t>
  </si>
  <si>
    <t>adhoc, prefix sum</t>
  </si>
  <si>
    <t>p3</t>
  </si>
  <si>
    <t>adhoc, constructive</t>
  </si>
  <si>
    <t>adhoc, cycle detection for iterated function</t>
  </si>
  <si>
    <t>p5</t>
  </si>
  <si>
    <t>adhoc, constructive, sweep</t>
  </si>
  <si>
    <t>adhoc, canonical form, [unclear text]</t>
  </si>
  <si>
    <t>adhoc, coordinate systems, math or simulation, [spiral grid]</t>
  </si>
  <si>
    <t>adhoc, sorting, [bubble sort]</t>
  </si>
  <si>
    <t>adhoc, string, math</t>
  </si>
  <si>
    <t>adhoc, canonical form, bf or greedy</t>
  </si>
  <si>
    <t>adhoc, string prefix</t>
  </si>
  <si>
    <t>adhoc, string parsing</t>
  </si>
  <si>
    <t>adhoc, binary search, bitmasks or rmq</t>
  </si>
  <si>
    <t>adhoc, bitmasks, [=spoj iitkwpch]</t>
  </si>
  <si>
    <t>adhoc, impl</t>
  </si>
  <si>
    <t>adhoc, cyclic shifts, partial sum or segment tree</t>
  </si>
  <si>
    <t>adhoc, sorting, [print the smallest lexicographically]</t>
  </si>
  <si>
    <t>adhoc, constructive, impl</t>
  </si>
  <si>
    <t>adhoc, sortings, overflow</t>
  </si>
  <si>
    <t>adhoc, bitmasks, binary search</t>
  </si>
  <si>
    <t>backtrack</t>
  </si>
  <si>
    <t>backtrack, graph, maximum independent set</t>
  </si>
  <si>
    <t>backtrack, datastructures, impl</t>
  </si>
  <si>
    <t>backtrack, expression parsing</t>
  </si>
  <si>
    <t>backtrack, expression parsing, [cnf]</t>
  </si>
  <si>
    <t>p4</t>
  </si>
  <si>
    <t>bf</t>
  </si>
  <si>
    <t>Gerald is into Art</t>
  </si>
  <si>
    <t>bf, two pointers</t>
  </si>
  <si>
    <t>bf, constructive</t>
  </si>
  <si>
    <t>bf, impl</t>
  </si>
  <si>
    <t>bf or greedy</t>
  </si>
  <si>
    <t>bf, constructive, impl</t>
  </si>
  <si>
    <t>bf, datastructures</t>
  </si>
  <si>
    <t>bf, combinatorics</t>
  </si>
  <si>
    <t>bf, math</t>
  </si>
  <si>
    <t>bf, [cases]</t>
  </si>
  <si>
    <t>bf, prune, binary base, bitmasks</t>
  </si>
  <si>
    <t>bf, impl or greedy</t>
  </si>
  <si>
    <t>bf, bitmasks or dp_adhoc</t>
  </si>
  <si>
    <t>bf, math, logs, [one solution use complex numbers]</t>
  </si>
  <si>
    <t>bf or dp</t>
  </si>
  <si>
    <t>bf, hashing, impl, [idea that functions like fibonacci grow very fast.]</t>
  </si>
  <si>
    <t>bf, graph, bitmasks</t>
  </si>
  <si>
    <t>binary search</t>
  </si>
  <si>
    <t>binary search, doubles</t>
  </si>
  <si>
    <t>binary search or simulation</t>
  </si>
  <si>
    <t>binary search, gcd</t>
  </si>
  <si>
    <t>binary search, greedy, math, impl</t>
  </si>
  <si>
    <t>binary search, bf, left-right trick</t>
  </si>
  <si>
    <t>binary search, math</t>
  </si>
  <si>
    <t>binary search, lower bound</t>
  </si>
  <si>
    <t>binary search, two pointers, armortized analysis</t>
  </si>
  <si>
    <t>binary search, math or formula</t>
  </si>
  <si>
    <t>binary search, [counting subarrays with sum k]</t>
  </si>
  <si>
    <t>binary search, d&amp;c, [issues in io, seems diffcult, but easy sol]</t>
  </si>
  <si>
    <t>bst, greedy, combinatorics</t>
  </si>
  <si>
    <t>datastructures, stack</t>
  </si>
  <si>
    <t>datastructures, set</t>
  </si>
  <si>
    <t>datastructures, stack or dp, [count the longest balanced brackets sequence]</t>
  </si>
  <si>
    <t>datastructures, grid compress</t>
  </si>
  <si>
    <t>datastructures, impl</t>
  </si>
  <si>
    <t>datastructures, multimap, hashing, bf</t>
  </si>
  <si>
    <t>datastructures, impl, sortings</t>
  </si>
  <si>
    <t>datastructures, impl, trees</t>
  </si>
  <si>
    <t>datastructures, heap, min_max heaps, [restricted tl, pq faster than multiset]</t>
  </si>
  <si>
    <t>datastructures, heap, min_max or bbst or segment tree</t>
  </si>
  <si>
    <t>datastructures, sets intersections and union</t>
  </si>
  <si>
    <t>datastructures, lists or sets merging</t>
  </si>
  <si>
    <t>datastructures, stack or rmq or segment tree</t>
  </si>
  <si>
    <t>datastructures, linked list, impl</t>
  </si>
  <si>
    <t>datastructures, stack &amp; queue</t>
  </si>
  <si>
    <t>datastructures, heap, [counting subarrays with sum k, solve spoj aba12e first]</t>
  </si>
  <si>
    <t>dp, [use scanf, you may need to avoid memset or use table methd]</t>
  </si>
  <si>
    <t>dp</t>
  </si>
  <si>
    <t>dp, lcs</t>
  </si>
  <si>
    <t>dp, math</t>
  </si>
  <si>
    <t>dp, 2d grid</t>
  </si>
  <si>
    <t>dp or greedy</t>
  </si>
  <si>
    <t>dp, [knapsack]</t>
  </si>
  <si>
    <t>dp, dp_memo</t>
  </si>
  <si>
    <t>dp, graph, cc</t>
  </si>
  <si>
    <t>dp, greedy, impl</t>
  </si>
  <si>
    <t>dp, lis, [direct lis]</t>
  </si>
  <si>
    <t>dp, dp_memo or greedy</t>
  </si>
  <si>
    <t>dp, lis efficient, lis indices or segment tree</t>
  </si>
  <si>
    <t>dp, sieve, binary search</t>
  </si>
  <si>
    <t>dp, knapsack</t>
  </si>
  <si>
    <t>dp, datastructures or binary search, impl</t>
  </si>
  <si>
    <t>dp, lis, onlogn, reduce to efficient lis or dp, bit</t>
  </si>
  <si>
    <t>dp, observation</t>
  </si>
  <si>
    <t>dp, lcs, analysis</t>
  </si>
  <si>
    <t>dp, graph or dijkstra</t>
  </si>
  <si>
    <t>dp, [non standard]</t>
  </si>
  <si>
    <t>dp, analysis</t>
  </si>
  <si>
    <t>dp, cases</t>
  </si>
  <si>
    <t>dp, mcm</t>
  </si>
  <si>
    <t>dp, primes</t>
  </si>
  <si>
    <t>dp, tree</t>
  </si>
  <si>
    <t>dp, bicoloring, is bipartite</t>
  </si>
  <si>
    <t>dp, dp_conting, dp_ranges</t>
  </si>
  <si>
    <t>dp, gcd</t>
  </si>
  <si>
    <t>dp, greedy</t>
  </si>
  <si>
    <t>dp, d&amp;c</t>
  </si>
  <si>
    <t>dp, dp_adhoc, [non standard]</t>
  </si>
  <si>
    <t>dp, dp_bitmasks</t>
  </si>
  <si>
    <t>dp, dp_bitmasks, mask-all-subsets, [direct practice on mask-all-subsets]</t>
  </si>
  <si>
    <t>dp, dp_bitmasks, tsp or bfs, impl</t>
  </si>
  <si>
    <t>dp, dp_bitmasks, binary search or adhoc</t>
  </si>
  <si>
    <t>dp, dp_bitmasks, floyd</t>
  </si>
  <si>
    <t>dp, dp_build_output</t>
  </si>
  <si>
    <t>dp, dp_build_output, [similar to edit distance]</t>
  </si>
  <si>
    <t>Changing a String</t>
  </si>
  <si>
    <t>dp, dp_build_output, [edit distance]</t>
  </si>
  <si>
    <t>dp, dp_counting</t>
  </si>
  <si>
    <t>dp, dp_counting, dp_trees</t>
  </si>
  <si>
    <t>dp, dp_counting or perm, adhoc</t>
  </si>
  <si>
    <t>dp, dp_counting or math, combinatorics</t>
  </si>
  <si>
    <t>dp, dp_counting, dp_bitmasks</t>
  </si>
  <si>
    <t>dp, dp_digit or impl</t>
  </si>
  <si>
    <t>dp, dp_digit, dp_bitmasks or adhoc</t>
  </si>
  <si>
    <t>dp, dp_digit or binary search</t>
  </si>
  <si>
    <t>dp, dp_games, minimax</t>
  </si>
  <si>
    <t>dp, dp_games</t>
  </si>
  <si>
    <t>dp, dp_games, dp_bitmasks or adhoc</t>
  </si>
  <si>
    <t>dp, dp_games, [harmonic progression]</t>
  </si>
  <si>
    <t>dp, dp_games, dp_bitmasks or game theory</t>
  </si>
  <si>
    <t>dp, dp_games, dp_probability</t>
  </si>
  <si>
    <t>dp, dp_games or backtrack, minmax (alpah beta)</t>
  </si>
  <si>
    <t>dp, dp_probability or probability</t>
  </si>
  <si>
    <t>dp, dp_probability</t>
  </si>
  <si>
    <t>dp, dp_probability, [=pku 3071]</t>
  </si>
  <si>
    <t>dp, dp_probability, counting style</t>
  </si>
  <si>
    <t>dp, dp_probability, combinatorics or adhoc</t>
  </si>
  <si>
    <t>dp, dp_probability, dp_table, masks</t>
  </si>
  <si>
    <t>dp, dp_probability or combinatorics</t>
  </si>
  <si>
    <t>dp, dp_probability, dp_table, [independece property, prove correctness?]</t>
  </si>
  <si>
    <t>dp, dp_probability or math, [hard text for few]</t>
  </si>
  <si>
    <t>dp, dp_ranges, lcs or backtrack</t>
  </si>
  <si>
    <t>dp, dp_ranges</t>
  </si>
  <si>
    <t>dp, dp_ranges, [consective ranges, cyclic permutation] or bf</t>
  </si>
  <si>
    <t>dp, dp_ranges, [consective ranges]</t>
  </si>
  <si>
    <t>dp, dp_ranges, impl, [consective ranges]</t>
  </si>
  <si>
    <t>dp, dp_ranges, [consective ranges] or bf</t>
  </si>
  <si>
    <t>dp, dp_ranges, floyd, [cases]</t>
  </si>
  <si>
    <t>dp, dp_subrectangle, 1d, [more direct uva 12640]</t>
  </si>
  <si>
    <t>dp, dp_subrectangle, 2d</t>
  </si>
  <si>
    <t>dp, dp_subrectangle, 2d, [actually greedy version]</t>
  </si>
  <si>
    <t>dp, dp_subrectangle, 2d, observations, dot product, largest rectangle general, [author: mostafa saad - i am authot.the math equations are for an important observation in linear svm]</t>
  </si>
  <si>
    <t>dp, dp_table</t>
  </si>
  <si>
    <t>dp, dp_table, dp_roll</t>
  </si>
  <si>
    <t>dp, dp_table, dp_roll, dp_bitmasks, sortings</t>
  </si>
  <si>
    <t>dp, dp_table or dp_bitmasks, all submasks of a mask, [if don't know the trick: https://ideone.com/p1vj81]</t>
  </si>
  <si>
    <t>dp, dp_trees, geometry or greedy</t>
  </si>
  <si>
    <t>dp, dp_trees or dsu-on-trees</t>
  </si>
  <si>
    <t>dp, dp_trees</t>
  </si>
  <si>
    <t>dp, dp_trees or diameter like, [tricky to guess its level]</t>
  </si>
  <si>
    <t>dp, dp_trees or greedy</t>
  </si>
  <si>
    <t>dp, dp_trees, [vertex cover releated]</t>
  </si>
  <si>
    <t>game theory, greedy</t>
  </si>
  <si>
    <t>game theory, gcd, dfs or pattern, [why each time if i have multiple branches from the current state i can win, why always there is a win leaf state for me if i have multiple branches from the current state?]</t>
  </si>
  <si>
    <t>game theory, adhoc</t>
  </si>
  <si>
    <t>game theory, gcd</t>
  </si>
  <si>
    <t>game theory, divisors, greedy</t>
  </si>
  <si>
    <t>geometry</t>
  </si>
  <si>
    <t>geometry, [slopes comparison]</t>
  </si>
  <si>
    <t>geometry, bf</t>
  </si>
  <si>
    <t>geometry, physics</t>
  </si>
  <si>
    <t>geometry, vectors addition</t>
  </si>
  <si>
    <t>geometry, check square, point rotation, bf</t>
  </si>
  <si>
    <t>geometry, adhoc</t>
  </si>
  <si>
    <t>geometry, ccw, parametric equ, in circle</t>
  </si>
  <si>
    <t>geometry, angles, precision</t>
  </si>
  <si>
    <t>geometry, angles</t>
  </si>
  <si>
    <t>geometry, datastructures</t>
  </si>
  <si>
    <t>geometry, impl, [very nice, o(1) and o(n) solutions]</t>
  </si>
  <si>
    <t>geometry, formula or matrix determinant</t>
  </si>
  <si>
    <t>geometry, triangles, formula</t>
  </si>
  <si>
    <t>geometry, angles, physics</t>
  </si>
  <si>
    <t>geometry, binary search, interactive</t>
  </si>
  <si>
    <t>geometry, [ppl scared in contest, but easy]</t>
  </si>
  <si>
    <t>geometry, bf, counting, treemaps</t>
  </si>
  <si>
    <t>geometry, binary search</t>
  </si>
  <si>
    <t>geometry, triangles, number theory</t>
  </si>
  <si>
    <t>geometry, plane graph</t>
  </si>
  <si>
    <t>geometry, binary search or bf, greedy</t>
  </si>
  <si>
    <t>geometry, probability or algebra</t>
  </si>
  <si>
    <t>geometry, trapezoid formula, binary search or analytical</t>
  </si>
  <si>
    <t>geometry, triangles, angles, parallelogram law, quadratic equations</t>
  </si>
  <si>
    <t>geometry, 3d, impl, math, [physics, kinematics]</t>
  </si>
  <si>
    <t>geometry, circles, [direct circle intersection, but precision]</t>
  </si>
  <si>
    <t>geometry, circles, distances</t>
  </si>
  <si>
    <t>geometry, circles, dsu</t>
  </si>
  <si>
    <t>geometry, circles</t>
  </si>
  <si>
    <t>geometry, circles, impl</t>
  </si>
  <si>
    <t>geometry, circles, polygon, [polyon inside poly]</t>
  </si>
  <si>
    <t>geometry, circles, triangles, thales' theorem, search</t>
  </si>
  <si>
    <t>geometry, circles, min enclosing circle, [=spoj qcj4]</t>
  </si>
  <si>
    <t>geometry, circles, binay search</t>
  </si>
  <si>
    <t>geometry, circles, algebra, impl</t>
  </si>
  <si>
    <t>geometry, circles, tangents, point on segment, precision</t>
  </si>
  <si>
    <t>geometry, lines, distances, [=uva 460]</t>
  </si>
  <si>
    <t>geometry, lines, line up</t>
  </si>
  <si>
    <t>geometry, lines, distances, impl</t>
  </si>
  <si>
    <t>geometry, lines, impl</t>
  </si>
  <si>
    <t>geometry, lines, intersection, shortest path</t>
  </si>
  <si>
    <t>geometry, lines, intersections</t>
  </si>
  <si>
    <t>geometry, lines</t>
  </si>
  <si>
    <t>geometry, lines, lines intersection, rectangles, bf</t>
  </si>
  <si>
    <t>geometry, lines, polyline intersection, bf, na??</t>
  </si>
  <si>
    <t>geometry, lines, distances, adhoc</t>
  </si>
  <si>
    <t>geometry, lines, intersections, counting, formula, [incremental thinking]</t>
  </si>
  <si>
    <t>geometry, lines, distances, floyd</t>
  </si>
  <si>
    <t>geometry, polygon, area, [just triangle areas]</t>
  </si>
  <si>
    <t>geometry, polygon</t>
  </si>
  <si>
    <t>geometry, polygon, pip, polygons intersection, dsu</t>
  </si>
  <si>
    <t>geometry, polygon, pip, winding numbers, [precision: use int as possible, bad statement?]</t>
  </si>
  <si>
    <t>geometry, polygon, pip, polygons inside polygons</t>
  </si>
  <si>
    <t>geometry, polygon, bf</t>
  </si>
  <si>
    <t>geometry, polygon, binary search</t>
  </si>
  <si>
    <t>geometry, polygon, pip, intersections or convex hull or polygon cut</t>
  </si>
  <si>
    <t>geometry, polygon, pick's theorem</t>
  </si>
  <si>
    <t>geometry, polygon, pick's theorem, gcd</t>
  </si>
  <si>
    <t>geometry, polygon, polygon cut</t>
  </si>
  <si>
    <t>geometry, polygon, polygon cut or adhoc</t>
  </si>
  <si>
    <t>greedy, geometry</t>
  </si>
  <si>
    <t>graph</t>
  </si>
  <si>
    <t>graph, trees</t>
  </si>
  <si>
    <t>graph, tree diameter</t>
  </si>
  <si>
    <t>graph, adhoc</t>
  </si>
  <si>
    <t>graph, greedy</t>
  </si>
  <si>
    <t>graph, trees, constructive</t>
  </si>
  <si>
    <t>graph, bf</t>
  </si>
  <si>
    <t>graph, cycle, greedy</t>
  </si>
  <si>
    <t>graph, prove using e.g. scc</t>
  </si>
  <si>
    <t>graph, trees, dfs, prefix sum or dp_trees</t>
  </si>
  <si>
    <t>graph, cycle</t>
  </si>
  <si>
    <t>graph, dp, sortings</t>
  </si>
  <si>
    <t>graph, greedy, [close to max cut]</t>
  </si>
  <si>
    <t>graph, bfs, multisrc, multidest</t>
  </si>
  <si>
    <t>graph, bfs</t>
  </si>
  <si>
    <t>graph, bfs, chess or dfs</t>
  </si>
  <si>
    <t>graph, bfs, impl</t>
  </si>
  <si>
    <t>graph, bfs, bitmask</t>
  </si>
  <si>
    <t>graph, bfs, bitmask or bfs preprocess then dp</t>
  </si>
  <si>
    <t>graph, bfs, dp or weighted matching</t>
  </si>
  <si>
    <t>graph, bfs or greedy, [search in 2d grid]</t>
  </si>
  <si>
    <t>graph, bfs, trie, hashing or meet in middle</t>
  </si>
  <si>
    <t>TIMUS 1498</t>
  </si>
  <si>
    <t>graph, bfs, [chess, tricky cases]</t>
  </si>
  <si>
    <t>graph, bfs, 0/1 bfs, [~spoj kaththi]</t>
  </si>
  <si>
    <t>graph, bfs, cyclic games</t>
  </si>
  <si>
    <t>graph, bfs, interactive</t>
  </si>
  <si>
    <t>graph, dfs, [finish computation times]</t>
  </si>
  <si>
    <t>graph, dfs</t>
  </si>
  <si>
    <t>graph, dfs, [reverse thinking]</t>
  </si>
  <si>
    <t>graph, dfs, impl</t>
  </si>
  <si>
    <t>graph, dfs, combinatorics, formula</t>
  </si>
  <si>
    <t>graph, dfs or directed articulation points algorithm</t>
  </si>
  <si>
    <t>graph, dfs or dp_trees</t>
  </si>
  <si>
    <t>graph, dfs, interactive</t>
  </si>
  <si>
    <t>graph, dfs, greedy</t>
  </si>
  <si>
    <t>graph, dfs or dp</t>
  </si>
  <si>
    <t>graph, dfs, bitset or persistent segment tree</t>
  </si>
  <si>
    <t>graph, dfs, fermat, [rearangement propperty or congruence]</t>
  </si>
  <si>
    <t>graph, dfs, flood-fill</t>
  </si>
  <si>
    <t>graph, dfs, flood-fill or bfs, bf</t>
  </si>
  <si>
    <t>graph, dfs, isomorphism or d&amp;c, hashing</t>
  </si>
  <si>
    <t>graph, dfs, isomorphism, canonical form or adhoc decomposition</t>
  </si>
  <si>
    <t>graph, dfs, topological sort</t>
  </si>
  <si>
    <t>graph, dfs, topological sort, cycles</t>
  </si>
  <si>
    <t>graph, dfs, topological sort or dp</t>
  </si>
  <si>
    <t>graph, dfs, topological sort, detect cycles</t>
  </si>
  <si>
    <t>graph, dfs, topological sort, binary search</t>
  </si>
  <si>
    <t>graph, dfs, topological sort, impl</t>
  </si>
  <si>
    <t>graph, dfs, topological sort or euler, [https://www.youtube.com/watch?v=o7bnky7weto]</t>
  </si>
  <si>
    <t>graph, dijkstra</t>
  </si>
  <si>
    <t>graph, dijkstra or dp</t>
  </si>
  <si>
    <t>graph, dijkstra, kth sp. [k &lt;= 10]</t>
  </si>
  <si>
    <t>graph, dijkstra, 2 dijkstra</t>
  </si>
  <si>
    <t>graph, dijkstra, kth sp (k=2) or floyd</t>
  </si>
  <si>
    <t>graph, dsu</t>
  </si>
  <si>
    <t>graph, dsu or dfs, cycles</t>
  </si>
  <si>
    <t>graph, dsu, [offline processing]</t>
  </si>
  <si>
    <t>graph, dsu, dijkstra like or binary search, bfs</t>
  </si>
  <si>
    <t>graph, floyd, path print</t>
  </si>
  <si>
    <t>graph, floyd, paths counting</t>
  </si>
  <si>
    <t>graph, floyd, minimax or dsu</t>
  </si>
  <si>
    <t>graph, floyd, binary search</t>
  </si>
  <si>
    <t>graph, floyd</t>
  </si>
  <si>
    <t>graph, floyd, dfs</t>
  </si>
  <si>
    <t>graph, floyd, antifloyd</t>
  </si>
  <si>
    <t>graph, floyd, dp</t>
  </si>
  <si>
    <t>graph, max-flow</t>
  </si>
  <si>
    <t>graph, max-flow, vertex constraints</t>
  </si>
  <si>
    <t>graph, max-flow, [direct bipartite is slow]</t>
  </si>
  <si>
    <t>graph, max-flow, vertex constraints, sparse graph, escape problem</t>
  </si>
  <si>
    <t>graph, max-flow, [vertex disjoint path/ super sink / vertex split]</t>
  </si>
  <si>
    <t>graph, max-flow, impl</t>
  </si>
  <si>
    <t>graph, max-flow, bipartite match</t>
  </si>
  <si>
    <t>graph, max-flow, bipartite match or impl</t>
  </si>
  <si>
    <t>graph, max-flow, bipartite match, min path cover, [direct, =uva 1201, uva 12083]</t>
  </si>
  <si>
    <t>graph, max-flow, bipartite match, min vertex cover, [konig’s theorem]</t>
  </si>
  <si>
    <t>graph, max-flow, bipartite match, max independent set or dp_bitmasks</t>
  </si>
  <si>
    <t>graph, max-flow, bipartite match, min path coverage, divisibility or min-cut</t>
  </si>
  <si>
    <t>graph, max-flow, bipartite match, konig's theorem</t>
  </si>
  <si>
    <t>graph, max-flow, min-cut, [print, as in video]</t>
  </si>
  <si>
    <t>graph, max-flow, min-cut, cut edges</t>
  </si>
  <si>
    <t>graph, max-flow, min-cut, vertex constraints</t>
  </si>
  <si>
    <t>graph, max-flow, min-cut or dp</t>
  </si>
  <si>
    <t>graph, max-flow, min-cut</t>
  </si>
  <si>
    <t>graph, mst</t>
  </si>
  <si>
    <t>graph, mst, 2nd mst</t>
  </si>
  <si>
    <t>graph, mst, # of spanning trees of complete graph, n^(n-2)</t>
  </si>
  <si>
    <t>graph, mst, [cases], [validate tree]</t>
  </si>
  <si>
    <t>graph, mst, max spanning tree</t>
  </si>
  <si>
    <t>graph, mst, [prime fails]</t>
  </si>
  <si>
    <t>graph, mst, combinatorics</t>
  </si>
  <si>
    <t>graph, scc</t>
  </si>
  <si>
    <t>graph, scc or topological sort, [=uva 11770, ~=tju 2233]</t>
  </si>
  <si>
    <t>graph, scc, hashing or dijkstra</t>
  </si>
  <si>
    <t>graph, scc, greedy, [scc floyd]</t>
  </si>
  <si>
    <t>graph, bf, floyd, cycles or max flow</t>
  </si>
  <si>
    <t>graph, scc, dp, [scc may help thoughts]</t>
  </si>
  <si>
    <t>graph, scc, probability, [more about probability]</t>
  </si>
  <si>
    <t>graph, scc, matrix or optimized bf, [using the property of the adjecency matrix for cycles, # of paths]</t>
  </si>
  <si>
    <t>greedy</t>
  </si>
  <si>
    <t>greedy, sorting, bitmasks</t>
  </si>
  <si>
    <t>greedy, sorting</t>
  </si>
  <si>
    <t>greedy, impl</t>
  </si>
  <si>
    <t>greedy, sorting or dp</t>
  </si>
  <si>
    <t>greedy, [cases]</t>
  </si>
  <si>
    <t>greedy, bf or binary search</t>
  </si>
  <si>
    <t>greedy, sets, finding max k subarrays</t>
  </si>
  <si>
    <t>greedy, palindromes</t>
  </si>
  <si>
    <t>greedy, set or grid compress</t>
  </si>
  <si>
    <t>greedy, math</t>
  </si>
  <si>
    <t>greedy, constructive</t>
  </si>
  <si>
    <t>greedy, prefix sum 2d</t>
  </si>
  <si>
    <t>greedy, simulation, priority queue</t>
  </si>
  <si>
    <t>greedy, [pigeonhole principle]</t>
  </si>
  <si>
    <t>greedy, datastructures or dp</t>
  </si>
  <si>
    <t>greedy, impl, [reverse thinking]</t>
  </si>
  <si>
    <t>greedy, constructive, [reverse thinking]</t>
  </si>
  <si>
    <t>greedy, math, [reverse thinking]</t>
  </si>
  <si>
    <t>greedy or dp</t>
  </si>
  <si>
    <t>greedy, math, binary search</t>
  </si>
  <si>
    <t>greedy, math, impl</t>
  </si>
  <si>
    <t>greedy, dfs , tree</t>
  </si>
  <si>
    <t>greedy, dfs or bfs, greedy</t>
  </si>
  <si>
    <t>greedy, graph</t>
  </si>
  <si>
    <t>greedy, knapsack, math</t>
  </si>
  <si>
    <t>greedy, math, strings</t>
  </si>
  <si>
    <t>greedy, sortings</t>
  </si>
  <si>
    <t>greedy or bf</t>
  </si>
  <si>
    <t>greedy, math or pattern or segment tree</t>
  </si>
  <si>
    <t>greedy, interactive, constructive</t>
  </si>
  <si>
    <t>greedy, math, adhoc</t>
  </si>
  <si>
    <t>greedy, sort, prefix sum, [maybe solve srm502-d1-500 first]</t>
  </si>
  <si>
    <t>greedy or dp or datastructures</t>
  </si>
  <si>
    <t>greedy, datastructures, stl</t>
  </si>
  <si>
    <t>greedy or dijkstra, [multiple start nodes]</t>
  </si>
  <si>
    <t>greedy, binary search, [strict time]</t>
  </si>
  <si>
    <t>greedy, math, sorting or dp</t>
  </si>
  <si>
    <t>greedy, observations</t>
  </si>
  <si>
    <t>greedy, bf, mask, impl</t>
  </si>
  <si>
    <t>greedy, bf, impl</t>
  </si>
  <si>
    <t>impl</t>
  </si>
  <si>
    <t>impl, stl, set</t>
  </si>
  <si>
    <t>Mike and Fun</t>
  </si>
  <si>
    <t>Flag Day</t>
  </si>
  <si>
    <t>Little Pigs and Wolves</t>
  </si>
  <si>
    <t>impl, math</t>
  </si>
  <si>
    <t>impl, sorting</t>
  </si>
  <si>
    <t>graph, constructive, adhoc</t>
  </si>
  <si>
    <t>impl, recursion, tower of hanoi</t>
  </si>
  <si>
    <t>impl, constructive</t>
  </si>
  <si>
    <t>impl, sorting, huffman coding</t>
  </si>
  <si>
    <t>impl or segment tree or bit</t>
  </si>
  <si>
    <t>impl, math, [symbolic thinking]</t>
  </si>
  <si>
    <t>impl, greedy</t>
  </si>
  <si>
    <t>math</t>
  </si>
  <si>
    <t>math, log, binary, pattern observation</t>
  </si>
  <si>
    <t>math, analysis</t>
  </si>
  <si>
    <t>math or bf</t>
  </si>
  <si>
    <t>math, combinatorics, bitmasks</t>
  </si>
  <si>
    <t>math, impl</t>
  </si>
  <si>
    <t>math, numberr theory</t>
  </si>
  <si>
    <t>math, __int128</t>
  </si>
  <si>
    <t>math, greedy, careful impl</t>
  </si>
  <si>
    <t>math, constructive</t>
  </si>
  <si>
    <t>math, number theory</t>
  </si>
  <si>
    <t>math, log, [double limits]</t>
  </si>
  <si>
    <t>math or dp</t>
  </si>
  <si>
    <t>math, pattern</t>
  </si>
  <si>
    <t>math or binary search</t>
  </si>
  <si>
    <t>Secrets</t>
  </si>
  <si>
    <t>math, bits</t>
  </si>
  <si>
    <t>math, constructive, interactive</t>
  </si>
  <si>
    <t>math, randomization, binary search, interactive</t>
  </si>
  <si>
    <t>math, adhoc, palyndromes, [short code]</t>
  </si>
  <si>
    <t>math, binary search</t>
  </si>
  <si>
    <t>math, binary search, precision</t>
  </si>
  <si>
    <t>math, randomization</t>
  </si>
  <si>
    <t>math, impl, [cases]</t>
  </si>
  <si>
    <t>math, number theory, greedy</t>
  </si>
  <si>
    <t>math, equations, impl</t>
  </si>
  <si>
    <t>math, sortings</t>
  </si>
  <si>
    <t>math, xor, bitwise, constructive</t>
  </si>
  <si>
    <t>math, repeated squaring, graph</t>
  </si>
  <si>
    <t>math or dp_tree</t>
  </si>
  <si>
    <t>math or dp_expectation</t>
  </si>
  <si>
    <t>math, combinatorics</t>
  </si>
  <si>
    <t>math, mod</t>
  </si>
  <si>
    <t>math, combinatorics, counting</t>
  </si>
  <si>
    <t>math, combinatorics, constructive</t>
  </si>
  <si>
    <t>math, combinatorics, first/last k digits 2^n, [=uva 11029]</t>
  </si>
  <si>
    <t>math, combinatorics or dp_counting</t>
  </si>
  <si>
    <t>math, combinatorics, impl</t>
  </si>
  <si>
    <t>math, factorial</t>
  </si>
  <si>
    <t>math, factorial, permutations, dublicates, factoradic index</t>
  </si>
  <si>
    <t>math, factorization</t>
  </si>
  <si>
    <t>math, factorization, primes, [factorize x!]</t>
  </si>
  <si>
    <t>math, factorization, divisors sum, multiview</t>
  </si>
  <si>
    <t>math, factorization, case analysis</t>
  </si>
  <si>
    <t>math, factorization, divisors sum</t>
  </si>
  <si>
    <t>math, factorization, gcd, lcm, observations</t>
  </si>
  <si>
    <t>math, factorization, primitve roots</t>
  </si>
  <si>
    <t>math, formula</t>
  </si>
  <si>
    <t>math, gcd, comb formula</t>
  </si>
  <si>
    <t>math, gcd</t>
  </si>
  <si>
    <t>math, gcd or adhoc</t>
  </si>
  <si>
    <t>math, gcd, lcm</t>
  </si>
  <si>
    <t>math, gcd, lcm, [overflow]</t>
  </si>
  <si>
    <t>math, gcd, mod, number theory</t>
  </si>
  <si>
    <t>math, gcd, cases</t>
  </si>
  <si>
    <t>math, inclusion-exclusion, lcm</t>
  </si>
  <si>
    <t>math, inclusion-exclusion, binary search</t>
  </si>
  <si>
    <t>math, inclusion-exclusion, gcd, overflow</t>
  </si>
  <si>
    <t>math, inclusion-exclusion</t>
  </si>
  <si>
    <t>math, infix to postfix</t>
  </si>
  <si>
    <t>math, math_adhoc, fermat last theorm</t>
  </si>
  <si>
    <t>math, math_adhoc, polynomials</t>
  </si>
  <si>
    <t>Learn  Fermat's little theorem</t>
  </si>
  <si>
    <t>math, math_adhoc, fermat little theorm</t>
  </si>
  <si>
    <t>math, math_adhoc, patterns</t>
  </si>
  <si>
    <t>math, matrix, matrix exponient</t>
  </si>
  <si>
    <t>math, matrix, rotate, reflect, impl</t>
  </si>
  <si>
    <t>math, matrix, bf</t>
  </si>
  <si>
    <t>math, matrix</t>
  </si>
  <si>
    <t>math, mod, pow, greedy</t>
  </si>
  <si>
    <t>math, probability, formula, fraction style</t>
  </si>
  <si>
    <t>math, probability</t>
  </si>
  <si>
    <t>math, probability, fractions style</t>
  </si>
  <si>
    <t>math, probability, conditional probability</t>
  </si>
  <si>
    <t>math, probability, fraction style, gcd</t>
  </si>
  <si>
    <t>math, probability or log, ternary search</t>
  </si>
  <si>
    <t>math, probability, combinatorics, math</t>
  </si>
  <si>
    <t>math, probability, graph, cycle</t>
  </si>
  <si>
    <t>math, probability, greedy</t>
  </si>
  <si>
    <t>math, probability, integration</t>
  </si>
  <si>
    <t>math, probability, bf or dp</t>
  </si>
  <si>
    <t>math, probability, factorial, logarithm, combinatorics, reflection principle, [solve first spoj funprob]</t>
  </si>
  <si>
    <t>math, probability, sorting</t>
  </si>
  <si>
    <t>math, probability, recursion, precision</t>
  </si>
  <si>
    <t>math, probability, bitmasks or dp_probability, [no editorial]</t>
  </si>
  <si>
    <t>math, probability, combinatronics</t>
  </si>
  <si>
    <t>math, probability, formula</t>
  </si>
  <si>
    <t>math, probability, combinatorics</t>
  </si>
  <si>
    <t>math, probability, expectation or dp_probability</t>
  </si>
  <si>
    <t>math, probability, expectation, bitmasks</t>
  </si>
  <si>
    <t>math, probability, expectation, dfs</t>
  </si>
  <si>
    <t>math, probability, expectation, permutation</t>
  </si>
  <si>
    <t>math, probability, expectation, greedy or dp</t>
  </si>
  <si>
    <t>math, probability, expectation</t>
  </si>
  <si>
    <t>Little Pony and Expected Maximum</t>
  </si>
  <si>
    <t>math, probability, expectation, pattern</t>
  </si>
  <si>
    <t>math, probability, expectation, linearity of expectation</t>
  </si>
  <si>
    <t>math, probability, expectation, linearity of expectation or dp_probability or greedy</t>
  </si>
  <si>
    <t>math, probability, expectation, dfs or dp</t>
  </si>
  <si>
    <t>math, probability, expectation, formula, greedy or dp_probability</t>
  </si>
  <si>
    <t>math, repeated squaring, mod, direct</t>
  </si>
  <si>
    <t>math, sieve</t>
  </si>
  <si>
    <t>math, sieve, factorization</t>
  </si>
  <si>
    <t>math, sieve, factorization, tricky big # test cases</t>
  </si>
  <si>
    <t>math, sieve, palindromes</t>
  </si>
  <si>
    <t>math, sieve, [last non zero digit of permutations]</t>
  </si>
  <si>
    <t>math, sieve, binary search</t>
  </si>
  <si>
    <t>math, sieve, dfs, dp</t>
  </si>
  <si>
    <t>math, summations</t>
  </si>
  <si>
    <t>math, summations, [in my videos]</t>
  </si>
  <si>
    <t>math, summations, seperate summations or ternary or analytical, [bad texr]</t>
  </si>
  <si>
    <t>math, summations, bf, [overflow]</t>
  </si>
  <si>
    <t>rmq, d&amp;c or datastructure, [largest rectangle in a histogram, ~=uva 12462 = srm337-d1-500 = uva 11871 = spoj ctgame]</t>
  </si>
  <si>
    <t>rmq, binary search or bit or two pointers</t>
  </si>
  <si>
    <t>rmq, sparce table, binary search or datastructures or bit or segment tree</t>
  </si>
  <si>
    <t>rmq, binary search, gcd, analysis or stack</t>
  </si>
  <si>
    <t>search, d&amp;c, greedy</t>
  </si>
  <si>
    <t>segment tree, [interval sum query]</t>
  </si>
  <si>
    <t>segment tree or bit, [~=tju 3440]</t>
  </si>
  <si>
    <t>segment tree</t>
  </si>
  <si>
    <t>segment tree, lazy propagation</t>
  </si>
  <si>
    <t>segment tree, lazy propagation or bit</t>
  </si>
  <si>
    <t>segment tree, sieve</t>
  </si>
  <si>
    <t>segment tree, [max pair sum]</t>
  </si>
  <si>
    <t>segment tree or adhoc</t>
  </si>
  <si>
    <t>segment tree, impl</t>
  </si>
  <si>
    <t>segment tree, lazy propagation, [edu]</t>
  </si>
  <si>
    <t>segment tree, lazy propagation, circular</t>
  </si>
  <si>
    <t>segment tree, [bracket balance, 2 values in segtree]</t>
  </si>
  <si>
    <t>segment tree, [max sum, part of gss series: http://blog.csdn.net/bhiaibogf/article/details/50719199]</t>
  </si>
  <si>
    <t>segment tree, rmq shift</t>
  </si>
  <si>
    <t>segment tree, lazy propagation or datastructures</t>
  </si>
  <si>
    <t>segment tree, lazy propagation, greedy or binary search</t>
  </si>
  <si>
    <t>segment tree, dp or dp</t>
  </si>
  <si>
    <t>segment tree or wavelet tree, [boring, inversion count, ~=cf459-d2-d]</t>
  </si>
  <si>
    <t>segment tree, [max sum+updates, spoj gss1 first]</t>
  </si>
  <si>
    <t>segment tree, lazy propagation, impl, [weak testcases, sum of squares]</t>
  </si>
  <si>
    <t>segment tree, [~=spoj gss5], [spoj gss1]</t>
  </si>
  <si>
    <t>segment tree or bit, [classical]</t>
  </si>
  <si>
    <t>segment tree, [skyline overlap, tle]</t>
  </si>
  <si>
    <t>segment tree, kth element or bit or bst or treap or datastructure</t>
  </si>
  <si>
    <t>segment tree, lazy propagation, [handle dimensions independently]</t>
  </si>
  <si>
    <t>segment tree, prefix sums or adhoc, recursion</t>
  </si>
  <si>
    <t>simulation, formula, [was, tricky]</t>
  </si>
  <si>
    <t>simulation, tricky</t>
  </si>
  <si>
    <t>simulation</t>
  </si>
  <si>
    <t>string processing, kmp, [count word frequency]</t>
  </si>
  <si>
    <t>string processing, kmp, [find words positions]</t>
  </si>
  <si>
    <t>string processing, kmp</t>
  </si>
  <si>
    <t>string processing, kmp, period max or suffix array</t>
  </si>
  <si>
    <t>string processing, kmp or z-function</t>
  </si>
  <si>
    <t>string processing, kmp or z-function, [~cf127-d2-d]</t>
  </si>
  <si>
    <t>string processing, trie</t>
  </si>
  <si>
    <t>string processing, trie, trie using map, pretty print trie, fast cin</t>
  </si>
  <si>
    <t>string processing, trie, [xor]</t>
  </si>
  <si>
    <t>LiveArchive 4682</t>
  </si>
  <si>
    <t>two pointers or adhoc</t>
  </si>
  <si>
    <t>two pointers or binary search, combinatorics</t>
  </si>
  <si>
    <t>two pointers or dp</t>
  </si>
  <si>
    <t>two pointers, [different solutions]</t>
  </si>
  <si>
    <t>two pointers</t>
  </si>
  <si>
    <t>two pointers or adhoc or kmp-like</t>
  </si>
  <si>
    <t>two pointers, binary search</t>
  </si>
  <si>
    <t>two pointers, dp or greedy</t>
  </si>
  <si>
    <t>two pointers or segment tree</t>
  </si>
  <si>
    <t>Caregory Code to match with Col O</t>
  </si>
  <si>
    <t>Learning Order</t>
  </si>
  <si>
    <t>1- Column K (learning order) is same order as the sheets A-D
2- You may follow this order to learn
3- Column G is the category code as in Column O
4- Example: You learned DFS. Codes for it are 60, 61, 63. Go and solve as u want from the problems with these codes. E.g. UVA 10461</t>
  </si>
  <si>
    <t>89, 101</t>
  </si>
  <si>
    <t>60,61,63</t>
  </si>
  <si>
    <t>65,76</t>
  </si>
  <si>
    <t>122, 125</t>
  </si>
  <si>
    <t>71,72,74</t>
  </si>
  <si>
    <t>Weekly Check List</t>
  </si>
  <si>
    <t>Reading</t>
  </si>
  <si>
    <t>Read within 3-5 minutes for short text problem. If no, you need to work on your Reading English Skills</t>
  </si>
  <si>
    <t>Never suspect later your problem understanding? If happens, you need to improve your comprehension / cases tracing</t>
  </si>
  <si>
    <t>Thinking</t>
  </si>
  <si>
    <t xml:space="preserve">Ready and in the challenging mood before start solving. </t>
  </si>
  <si>
    <t>Found a solution; Do verifications: text cases / extra cases / correctness / time &amp; memory</t>
  </si>
  <si>
    <t>Coding</t>
  </si>
  <si>
    <t>Sketch in your mind the big picture of the code first. Don't rush for coding</t>
  </si>
  <si>
    <t>Code within 10 minutes. If more, you have coding skills problem or your understanding for the approach is not complete</t>
  </si>
  <si>
    <t>A lot of copy paste? Something wrong. Need a better code organization</t>
  </si>
  <si>
    <t>Needed more than 10 minutes to code medium size codes? Why? Identify the issue and solve it</t>
  </si>
  <si>
    <t>Debugging</t>
  </si>
  <si>
    <t>Which will be faster to catch the mistake? Printing or Debugger</t>
  </si>
  <si>
    <t>Don't know how to use a debugger? Learn this skill</t>
  </si>
  <si>
    <t>Needed more than 10 minutes to solve bugs? Something is wrong. Why need all this time? How to solve this issue?</t>
  </si>
  <si>
    <t>Code is ready!</t>
  </si>
  <si>
    <t>Just submit and see if passed? Wrong. Behave as if you are in the real contest. Are you almost sure it will be AC? If yes, submit</t>
  </si>
  <si>
    <t>TRAIN offline as if you are in a real contest. This shortens the gap between training and the real contest</t>
  </si>
  <si>
    <t>Code Failed :(</t>
  </si>
  <si>
    <t>Are you nervous / frustrated? Yes =&gt; Wrong behavior. Take it easy</t>
  </si>
  <si>
    <t>Rush to test cases? Yes =&gt; Wrong, revise idea, then code, then trace more samples. Try for 15 minutes or more first</t>
  </si>
  <si>
    <t>Got it AC</t>
  </si>
  <si>
    <t>Read and Understood editorial solutions?</t>
  </si>
  <si>
    <t xml:space="preserve">Checked 1-3 other AC solutions? </t>
  </si>
  <si>
    <t>Tried to write a much shorter version of your code?</t>
  </si>
  <si>
    <t>Tried to write a faster coder (better complexity)?</t>
  </si>
  <si>
    <t>Speed</t>
  </si>
  <si>
    <t>How much time do you need in Div2-A/Div2-B? Target (5, 10) minutes for semiseniors, (3, 6) for seniors</t>
  </si>
  <si>
    <t>Not that fast? You need regular speed training on easy problems</t>
  </si>
  <si>
    <t>Weakly contests</t>
  </si>
  <si>
    <t>Do you participate in 1-2 contests per week at least? If no, this is bad. Offline training != Online contests</t>
  </si>
  <si>
    <t>You need to train yourself to behave in online contests similar to offline training. This is an important skill.</t>
  </si>
  <si>
    <t>Sheet stats</t>
  </si>
  <si>
    <t>Recorded them? Yes: read your problem's row. Where do you consume the most of the time? These are your weak skills</t>
  </si>
  <si>
    <t>No, I don't record! =&gt; How will you know your weak points?!</t>
  </si>
  <si>
    <t>Can't record timing as I am mixing thinking with coding? =&gt; Wrong behavior. get done with thinking, then move to coding. Don't cycle</t>
  </si>
  <si>
    <t>Training Time</t>
  </si>
  <si>
    <t>Is it regular and scheduled? Yes =&gt; you will have regular improvements.</t>
  </si>
  <si>
    <t>Your plan was to train X hours, Did so? If no, why?</t>
  </si>
  <si>
    <t>Without regular and continous training, your mind might not improve well</t>
  </si>
  <si>
    <t>Training with?</t>
  </si>
  <si>
    <t>Yourself only? You may feel bored. If can collaborate with others = longer commitment</t>
  </si>
  <si>
    <t>Psychological  issues</t>
  </si>
  <si>
    <t>Do you keep comparing yourself with others?</t>
  </si>
  <si>
    <t>Do you have negative feelings? Like I am stupid..I am hopeless...I will never have a comparable level...?</t>
  </si>
  <si>
    <t>Do you think of your image/appearance if failed in online contests so avoid contests?</t>
  </si>
  <si>
    <t>Do you use another account with a weird name to train so that people don't know about your progress/failure?</t>
  </si>
  <si>
    <t>Do you wish your friends fail in the contest? or get annoyed with their better performance?</t>
  </si>
  <si>
    <t>Do you avoid teaching your friends something or give no support to remain better than them?</t>
  </si>
  <si>
    <t>Do you feel bored/frustrated as no/weak community in your college?</t>
  </si>
  <si>
    <t>Do you keep training day and night without breaks? No socialization at all?</t>
  </si>
  <si>
    <t>Do you hate specific topics and avoid them (probability/geometry)?</t>
  </si>
  <si>
    <t>‘Should I stop’ Dilemma? Keep thinking is it worth vs a waste of time?</t>
  </si>
  <si>
    <t>If any of the above questions is YES, you probably have a problem and need to find a solution to it.</t>
  </si>
  <si>
    <r>
      <t xml:space="preserve">I didn't see all the constraints, </t>
    </r>
    <r>
      <rPr>
        <b/>
        <sz val="10"/>
        <rFont val="Arial"/>
        <family val="2"/>
      </rPr>
      <t>reading was too fast</t>
    </r>
    <r>
      <rPr>
        <sz val="10"/>
        <rFont val="Arial"/>
        <family val="2"/>
      </rPr>
      <t xml:space="preserve"> !</t>
    </r>
  </si>
  <si>
    <t>20+</t>
  </si>
  <si>
    <t>I watched the video solution. I still need to work more on two pointers, and I didn’t know the trick with bool variable to change the player's turn</t>
  </si>
  <si>
    <t>I thought about using hashmap but couldn't implement it, I didn't think of the brute force initially</t>
  </si>
  <si>
    <t>I was stuck on finding the formula of the minimum time required to do the counterclockwise rotation (26-|x-y|), so I saw it in the editorial. Implementation was quite easy</t>
  </si>
  <si>
    <t xml:space="preserve">i didn’t know array indices start from 0 in c++, Ai gave me the hint about it. I also was thinking about the brute force approach </t>
  </si>
  <si>
    <t>didn’t understand initially the lexicographic comparison (return value as soon as condition), Ai gave me the hint</t>
  </si>
  <si>
    <t>NO</t>
  </si>
  <si>
    <t>Theoritically I had the correct solution but wrong for-loop logic, so I used the ai help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</si>
</sst>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271">
    <font>
      <sz val="10"/>
      <color rgb="FF000000"/>
      <name val="Arial"/>
    </font>
    <font>
      <b/>
      <sz val="10"/>
      <name val="Arial"/>
    </font>
    <font>
      <sz val="10"/>
      <name val="Arial"/>
    </font>
    <font>
      <u/>
      <sz val="10"/>
      <color rgb="FF1155CC"/>
      <name val="Arial"/>
    </font>
    <font>
      <u/>
      <sz val="10"/>
      <color rgb="FF1155CC"/>
      <name val="Arial"/>
    </font>
    <font>
      <u/>
      <sz val="14"/>
      <color rgb="FF1155CC"/>
      <name val="Arial"/>
    </font>
    <font>
      <u/>
      <sz val="10"/>
      <color rgb="FF1155CC"/>
      <name val="Arial"/>
    </font>
    <font>
      <u/>
      <sz val="10"/>
      <color rgb="FF0000FF"/>
      <name val="Arial"/>
    </font>
    <font>
      <b/>
      <u/>
      <sz val="10"/>
      <color rgb="FF1155CC"/>
      <name val="Arial"/>
    </font>
    <font>
      <b/>
      <sz val="10"/>
      <color rgb="FF000000"/>
      <name val="Arial"/>
    </font>
    <font>
      <u/>
      <sz val="10"/>
      <color rgb="FF1155CC"/>
      <name val="Arial"/>
    </font>
    <font>
      <sz val="10"/>
      <name val="Arial"/>
    </font>
    <font>
      <b/>
      <sz val="12"/>
      <name val="Arial"/>
    </font>
    <font>
      <b/>
      <u/>
      <sz val="12"/>
      <color rgb="FF1155CC"/>
      <name val="Arial"/>
    </font>
    <font>
      <b/>
      <u/>
      <sz val="12"/>
      <color rgb="FF1155CC"/>
      <name val="Arial"/>
    </font>
    <font>
      <b/>
      <u/>
      <sz val="12"/>
      <color rgb="FF1155CC"/>
      <name val="Arial"/>
    </font>
    <font>
      <b/>
      <sz val="10"/>
      <name val="Arial"/>
    </font>
    <font>
      <b/>
      <u/>
      <sz val="10"/>
      <color rgb="FF1155CC"/>
      <name val="Arial"/>
    </font>
    <font>
      <u/>
      <sz val="10"/>
      <color rgb="FF1155CC"/>
      <name val="Arial"/>
    </font>
    <font>
      <u/>
      <sz val="10"/>
      <color rgb="FF1155CC"/>
      <name val="Arial"/>
    </font>
    <font>
      <u/>
      <sz val="10"/>
      <color rgb="FF1155CC"/>
      <name val="Arial"/>
    </font>
    <font>
      <u/>
      <sz val="10"/>
      <color rgb="FF1155CC"/>
      <name val="Arial"/>
    </font>
    <font>
      <u/>
      <sz val="10"/>
      <color rgb="FF1155CC"/>
      <name val="Arial"/>
    </font>
    <font>
      <u/>
      <sz val="10"/>
      <color rgb="FF0000FF"/>
      <name val="Arial"/>
    </font>
    <font>
      <u/>
      <sz val="10"/>
      <color rgb="FF0000FF"/>
      <name val="Arial"/>
    </font>
    <font>
      <u/>
      <sz val="10"/>
      <color rgb="FF1155CC"/>
      <name val="Arial"/>
    </font>
    <font>
      <sz val="10"/>
      <color rgb="FF000000"/>
      <name val="Arial"/>
    </font>
    <font>
      <u/>
      <sz val="10"/>
      <color rgb="FF0000FF"/>
      <name val="Arial"/>
    </font>
    <font>
      <i/>
      <sz val="10"/>
      <name val="Arial"/>
    </font>
    <font>
      <sz val="10"/>
      <color rgb="FF000000"/>
      <name val="'Arial'"/>
    </font>
    <font>
      <b/>
      <u/>
      <sz val="10"/>
      <color rgb="FF1155CC"/>
      <name val="Arial"/>
    </font>
    <font>
      <b/>
      <u/>
      <sz val="10"/>
      <color rgb="FF1155CC"/>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1155CC"/>
      <name val="Arial"/>
    </font>
    <font>
      <u/>
      <sz val="10"/>
      <color rgb="FF1155CC"/>
      <name val="Arial"/>
    </font>
    <font>
      <u/>
      <sz val="10"/>
      <color rgb="FF0000FF"/>
      <name val="Arial"/>
    </font>
    <font>
      <u/>
      <sz val="10"/>
      <color rgb="FF1155CC"/>
      <name val="Arial"/>
    </font>
    <font>
      <u/>
      <sz val="10"/>
      <color rgb="FF1155CC"/>
      <name val="Arial"/>
    </font>
    <font>
      <u/>
      <sz val="10"/>
      <color rgb="FF1155CC"/>
      <name val="Arial"/>
    </font>
    <font>
      <u/>
      <sz val="10"/>
      <color rgb="FF1155CC"/>
      <name val="Arial"/>
    </font>
    <font>
      <u/>
      <sz val="10"/>
      <color rgb="FF1155CC"/>
      <name val="Arial"/>
    </font>
    <font>
      <u/>
      <sz val="10"/>
      <color rgb="FF1155CC"/>
      <name val="Arial"/>
    </font>
    <font>
      <u/>
      <sz val="10"/>
      <color rgb="FF1155CC"/>
      <name val="Arial"/>
    </font>
    <font>
      <u/>
      <sz val="10"/>
      <color rgb="FF1155CC"/>
      <name val="Arial"/>
    </font>
    <font>
      <u/>
      <sz val="10"/>
      <color rgb="FF1155CC"/>
      <name val="Arial"/>
    </font>
    <font>
      <b/>
      <u/>
      <sz val="10"/>
      <color rgb="FF1155CC"/>
      <name val="Arial"/>
    </font>
    <font>
      <u/>
      <sz val="10"/>
      <color rgb="FF1155CC"/>
      <name val="Arial"/>
    </font>
    <font>
      <u/>
      <sz val="10"/>
      <color rgb="FF1155CC"/>
      <name val="Arial"/>
    </font>
    <font>
      <u/>
      <sz val="10"/>
      <color rgb="FF1155CC"/>
      <name val="Arial"/>
    </font>
    <font>
      <u/>
      <sz val="10"/>
      <color rgb="FF1155CC"/>
      <name val="Arial"/>
    </font>
    <font>
      <u/>
      <sz val="10"/>
      <color rgb="FF0000FF"/>
      <name val="Arial"/>
    </font>
    <font>
      <u/>
      <sz val="10"/>
      <name val="Arial"/>
    </font>
    <font>
      <u/>
      <sz val="10"/>
      <color rgb="FF1155CC"/>
      <name val="Arial"/>
    </font>
    <font>
      <u/>
      <sz val="10"/>
      <color rgb="FF1155CC"/>
      <name val="Arial"/>
    </font>
    <font>
      <b/>
      <u/>
      <sz val="10"/>
      <color rgb="FF1155CC"/>
      <name val="Arial"/>
    </font>
    <font>
      <u/>
      <sz val="10"/>
      <color rgb="FF1155CC"/>
      <name val="Arial"/>
    </font>
    <font>
      <u/>
      <sz val="10"/>
      <color rgb="FF1155CC"/>
      <name val="Arial"/>
    </font>
    <font>
      <u/>
      <sz val="10"/>
      <color rgb="FF1155CC"/>
      <name val="Arial"/>
    </font>
    <font>
      <u/>
      <sz val="10"/>
      <color rgb="FF1155CC"/>
      <name val="Arial"/>
    </font>
    <font>
      <b/>
      <u/>
      <sz val="10"/>
      <color rgb="FF1155CC"/>
      <name val="Arial"/>
    </font>
    <font>
      <u/>
      <sz val="10"/>
      <color rgb="FF0000FF"/>
      <name val="Arial"/>
    </font>
    <font>
      <u/>
      <sz val="10"/>
      <color rgb="FF0000FF"/>
      <name val="Arial"/>
    </font>
    <font>
      <u/>
      <sz val="10"/>
      <color rgb="FF0000FF"/>
      <name val="Arial"/>
    </font>
    <font>
      <u/>
      <sz val="10"/>
      <color rgb="FF1155CC"/>
      <name val="Arial"/>
    </font>
    <font>
      <u/>
      <sz val="10"/>
      <color rgb="FF1155CC"/>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b/>
      <u/>
      <sz val="10"/>
      <color rgb="FF1155CC"/>
      <name val="Arial"/>
    </font>
    <font>
      <u/>
      <sz val="10"/>
      <color rgb="FF1155CC"/>
      <name val="Arial"/>
    </font>
    <font>
      <u/>
      <sz val="10"/>
      <color rgb="FF1155CC"/>
      <name val="Arial"/>
    </font>
    <font>
      <b/>
      <u/>
      <sz val="10"/>
      <color rgb="FF1155CC"/>
      <name val="Arial"/>
    </font>
    <font>
      <b/>
      <u/>
      <sz val="10"/>
      <color rgb="FF1155CC"/>
      <name val="Arial"/>
    </font>
    <font>
      <u/>
      <sz val="10"/>
      <color rgb="FF0000FF"/>
      <name val="Arial"/>
    </font>
    <font>
      <u/>
      <sz val="10"/>
      <color rgb="FF1155CC"/>
      <name val="Arial"/>
    </font>
    <font>
      <u/>
      <sz val="10"/>
      <color rgb="FF0000FF"/>
      <name val="Arial"/>
    </font>
    <font>
      <u/>
      <sz val="10"/>
      <color rgb="FF0000FF"/>
      <name val="Arial"/>
    </font>
    <font>
      <b/>
      <u/>
      <sz val="10"/>
      <color rgb="FF0000FF"/>
      <name val="Arial"/>
    </font>
    <font>
      <u/>
      <sz val="10"/>
      <color rgb="FF1155CC"/>
      <name val="Arial"/>
    </font>
    <font>
      <u/>
      <sz val="10"/>
      <color rgb="FF1155CC"/>
      <name val="Arial"/>
    </font>
    <font>
      <u/>
      <sz val="10"/>
      <color rgb="FF1155CC"/>
      <name val="Arial"/>
    </font>
    <font>
      <u/>
      <sz val="10"/>
      <color rgb="FF1155CC"/>
      <name val="Arial"/>
    </font>
    <font>
      <u/>
      <sz val="10"/>
      <color rgb="FF0000FF"/>
      <name val="Arial"/>
    </font>
    <font>
      <u/>
      <sz val="10"/>
      <color rgb="FF1155CC"/>
      <name val="Arial"/>
    </font>
    <font>
      <b/>
      <u/>
      <sz val="10"/>
      <color rgb="FF1155CC"/>
      <name val="Arial"/>
    </font>
    <font>
      <u/>
      <sz val="10"/>
      <color rgb="FF0000FF"/>
      <name val="Arial"/>
    </font>
    <font>
      <u/>
      <sz val="10"/>
      <color rgb="FF0000FF"/>
      <name val="Arial"/>
    </font>
    <font>
      <u/>
      <sz val="10"/>
      <color rgb="FF0000FF"/>
      <name val="Arial"/>
    </font>
    <font>
      <u/>
      <sz val="10"/>
      <color rgb="FF1155CC"/>
      <name val="Arial"/>
    </font>
    <font>
      <u/>
      <sz val="10"/>
      <color rgb="FF0000FF"/>
      <name val="Arial"/>
    </font>
    <font>
      <u/>
      <sz val="10"/>
      <color rgb="FF1155CC"/>
      <name val="Arial"/>
    </font>
    <font>
      <u/>
      <sz val="10"/>
      <color rgb="FF1155CC"/>
      <name val="Arial"/>
    </font>
    <font>
      <u/>
      <sz val="10"/>
      <color rgb="FF1155CC"/>
      <name val="Arial"/>
    </font>
    <font>
      <u/>
      <sz val="10"/>
      <color rgb="FF0000FF"/>
      <name val="Arial"/>
    </font>
    <font>
      <u/>
      <sz val="10"/>
      <color rgb="FF0000FF"/>
      <name val="Arial"/>
    </font>
    <font>
      <u/>
      <sz val="10"/>
      <color rgb="FF0000FF"/>
      <name val="Arial"/>
    </font>
    <font>
      <u/>
      <sz val="10"/>
      <color rgb="FF0000FF"/>
      <name val="Arial"/>
    </font>
    <font>
      <u/>
      <sz val="10"/>
      <color rgb="FF1155CC"/>
      <name val="Arial"/>
    </font>
    <font>
      <u/>
      <sz val="10"/>
      <color rgb="FF1155CC"/>
      <name val="Arial"/>
    </font>
    <font>
      <u/>
      <sz val="10"/>
      <color rgb="FF1155CC"/>
      <name val="Arial"/>
    </font>
    <font>
      <u/>
      <sz val="10"/>
      <color rgb="FF0000FF"/>
      <name val="Arial"/>
    </font>
    <font>
      <u/>
      <sz val="10"/>
      <color rgb="FF1155CC"/>
      <name val="Arial"/>
    </font>
    <font>
      <u/>
      <sz val="10"/>
      <color rgb="FF1155CC"/>
      <name val="Arial"/>
    </font>
    <font>
      <u/>
      <sz val="10"/>
      <color rgb="FF1155CC"/>
      <name val="Arial"/>
    </font>
    <font>
      <u/>
      <sz val="10"/>
      <color rgb="FF0000FF"/>
      <name val="Arial"/>
    </font>
    <font>
      <u/>
      <sz val="10"/>
      <color rgb="FF1155CC"/>
      <name val="Arial"/>
    </font>
    <font>
      <u/>
      <sz val="10"/>
      <color rgb="FF1155CC"/>
      <name val="Arial"/>
    </font>
    <font>
      <u/>
      <sz val="10"/>
      <color rgb="FF0000FF"/>
      <name val="Arial"/>
    </font>
    <font>
      <u/>
      <sz val="10"/>
      <color rgb="FF1155CC"/>
      <name val="Arial"/>
    </font>
    <font>
      <u/>
      <sz val="10"/>
      <color rgb="FF0000FF"/>
      <name val="Arial"/>
    </font>
    <font>
      <u/>
      <sz val="10"/>
      <color rgb="FF1155CC"/>
      <name val="Arial"/>
    </font>
    <font>
      <u/>
      <sz val="10"/>
      <color rgb="FF1155CC"/>
      <name val="Arial"/>
    </font>
    <font>
      <u/>
      <sz val="10"/>
      <color rgb="FF0000FF"/>
      <name val="Arial"/>
    </font>
    <font>
      <u/>
      <sz val="10"/>
      <color rgb="FF1155CC"/>
      <name val="Arial"/>
    </font>
    <font>
      <u/>
      <sz val="10"/>
      <color rgb="FF1155CC"/>
      <name val="Arial"/>
    </font>
    <font>
      <u/>
      <sz val="10"/>
      <color rgb="FF1155CC"/>
      <name val="Arial"/>
    </font>
    <font>
      <u/>
      <sz val="10"/>
      <color rgb="FF1155CC"/>
      <name val="Arial"/>
    </font>
    <font>
      <u/>
      <sz val="10"/>
      <color rgb="FF0000FF"/>
      <name val="Arial"/>
    </font>
    <font>
      <b/>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1155CC"/>
      <name val="Arial"/>
    </font>
    <font>
      <u/>
      <sz val="10"/>
      <color rgb="FF1155CC"/>
      <name val="Arial"/>
    </font>
    <font>
      <u/>
      <sz val="10"/>
      <color rgb="FF1155CC"/>
      <name val="Arial"/>
    </font>
    <font>
      <u/>
      <sz val="10"/>
      <color rgb="FF0000FF"/>
      <name val="Arial"/>
    </font>
    <font>
      <u/>
      <sz val="10"/>
      <color rgb="FF1155CC"/>
      <name val="Arial"/>
    </font>
    <font>
      <u/>
      <sz val="10"/>
      <color rgb="FF0000FF"/>
      <name val="Arial"/>
    </font>
    <font>
      <u/>
      <sz val="10"/>
      <color rgb="FF0000FF"/>
      <name val="Arial"/>
    </font>
    <font>
      <u/>
      <sz val="10"/>
      <color rgb="FF1155CC"/>
      <name val="Arial"/>
    </font>
    <font>
      <u/>
      <sz val="10"/>
      <color rgb="FF0000FF"/>
      <name val="Arial"/>
    </font>
    <font>
      <u/>
      <sz val="10"/>
      <color rgb="FF1155CC"/>
      <name val="Arial"/>
    </font>
    <font>
      <u/>
      <sz val="10"/>
      <color rgb="FF1155CC"/>
      <name val="Arial"/>
    </font>
    <font>
      <u/>
      <sz val="10"/>
      <color rgb="FF0000FF"/>
      <name val="Arial"/>
    </font>
    <font>
      <u/>
      <sz val="10"/>
      <color rgb="FF0000FF"/>
      <name val="Arial"/>
    </font>
    <font>
      <u/>
      <sz val="10"/>
      <color rgb="FF1155CC"/>
      <name val="Arial"/>
    </font>
    <font>
      <u/>
      <sz val="10"/>
      <color rgb="FF1155CC"/>
      <name val="Arial"/>
    </font>
    <font>
      <u/>
      <sz val="10"/>
      <color rgb="FF1155CC"/>
      <name val="Arial"/>
    </font>
    <font>
      <u/>
      <sz val="10"/>
      <color rgb="FF0000FF"/>
      <name val="Arial"/>
    </font>
    <font>
      <b/>
      <u/>
      <sz val="10"/>
      <color rgb="FF1155CC"/>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1155CC"/>
      <name val="Arial"/>
    </font>
    <font>
      <u/>
      <sz val="10"/>
      <color rgb="FF1155CC"/>
      <name val="Arial"/>
    </font>
    <font>
      <u/>
      <sz val="10"/>
      <color rgb="FF1155CC"/>
      <name val="Arial"/>
    </font>
    <font>
      <u/>
      <sz val="10"/>
      <color rgb="FF0000FF"/>
      <name val="Arial"/>
    </font>
    <font>
      <b/>
      <u/>
      <sz val="10"/>
      <color rgb="FF0000FF"/>
      <name val="Arial"/>
    </font>
    <font>
      <u/>
      <sz val="10"/>
      <color rgb="FF1155CC"/>
      <name val="Arial"/>
    </font>
    <font>
      <b/>
      <u/>
      <sz val="10"/>
      <color rgb="FF1155CC"/>
      <name val="Arial"/>
    </font>
    <font>
      <u/>
      <sz val="10"/>
      <color rgb="FF1155CC"/>
      <name val="Arial"/>
    </font>
    <font>
      <u/>
      <sz val="10"/>
      <color rgb="FF1155CC"/>
      <name val="Arial"/>
    </font>
    <font>
      <u/>
      <sz val="10"/>
      <color rgb="FF0000FF"/>
      <name val="Arial"/>
    </font>
    <font>
      <u/>
      <sz val="10"/>
      <color rgb="FF0000FF"/>
      <name val="Arial"/>
    </font>
    <font>
      <u/>
      <sz val="10"/>
      <color rgb="FF1155CC"/>
      <name val="Arial"/>
    </font>
    <font>
      <u/>
      <sz val="10"/>
      <color rgb="FF1155CC"/>
      <name val="Arial"/>
    </font>
    <font>
      <b/>
      <u/>
      <sz val="10"/>
      <color rgb="FF1155CC"/>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1155CC"/>
      <name val="Arial"/>
    </font>
    <font>
      <u/>
      <sz val="10"/>
      <color rgb="FF1155CC"/>
      <name val="Arial"/>
    </font>
    <font>
      <u/>
      <sz val="10"/>
      <color rgb="FF0000FF"/>
      <name val="Arial"/>
    </font>
    <font>
      <u/>
      <sz val="10"/>
      <color rgb="FF0000FF"/>
      <name val="Arial"/>
    </font>
    <font>
      <u/>
      <sz val="10"/>
      <color rgb="FF0000FF"/>
      <name val="Arial"/>
    </font>
    <font>
      <u/>
      <sz val="10"/>
      <color rgb="FF1155CC"/>
      <name val="Arial"/>
    </font>
    <font>
      <b/>
      <u/>
      <sz val="10"/>
      <color rgb="FF1155CC"/>
      <name val="Arial"/>
    </font>
    <font>
      <b/>
      <u/>
      <sz val="10"/>
      <color rgb="FF1155CC"/>
      <name val="Arial"/>
    </font>
    <font>
      <u/>
      <sz val="10"/>
      <color rgb="FF0000FF"/>
      <name val="Arial"/>
    </font>
    <font>
      <b/>
      <u/>
      <sz val="10"/>
      <color rgb="FF1155CC"/>
      <name val="Arial"/>
    </font>
    <font>
      <u/>
      <sz val="10"/>
      <color rgb="FF1155CC"/>
      <name val="Arial"/>
    </font>
    <font>
      <u/>
      <sz val="10"/>
      <color rgb="FF1155CC"/>
      <name val="Arial"/>
    </font>
    <font>
      <u/>
      <sz val="10"/>
      <color rgb="FF1155CC"/>
      <name val="Arial"/>
    </font>
    <font>
      <u/>
      <sz val="10"/>
      <color rgb="FF1155CC"/>
      <name val="Arial"/>
    </font>
    <font>
      <u/>
      <sz val="10"/>
      <color rgb="FF1155CC"/>
      <name val="Arial"/>
    </font>
    <font>
      <u/>
      <sz val="10"/>
      <color rgb="FF0000FF"/>
      <name val="Arial"/>
    </font>
    <font>
      <u/>
      <sz val="10"/>
      <color rgb="FF1155CC"/>
      <name val="Arial"/>
    </font>
    <font>
      <u/>
      <sz val="10"/>
      <color rgb="FF0000FF"/>
      <name val="Arial"/>
    </font>
    <font>
      <u/>
      <sz val="10"/>
      <color rgb="FF1155CC"/>
      <name val="Arial"/>
    </font>
    <font>
      <u/>
      <sz val="10"/>
      <color rgb="FF1155CC"/>
      <name val="Arial"/>
    </font>
    <font>
      <u/>
      <sz val="10"/>
      <color rgb="FF0000FF"/>
      <name val="Arial"/>
    </font>
    <font>
      <u/>
      <sz val="10"/>
      <color rgb="FF1155CC"/>
      <name val="Arial"/>
    </font>
    <font>
      <u/>
      <sz val="10"/>
      <color rgb="FF1155CC"/>
      <name val="Arial"/>
    </font>
    <font>
      <u/>
      <sz val="10"/>
      <color rgb="FF1155CC"/>
      <name val="Arial"/>
    </font>
    <font>
      <u/>
      <sz val="10"/>
      <color rgb="FF0000FF"/>
      <name val="Arial"/>
    </font>
    <font>
      <u/>
      <sz val="10"/>
      <color rgb="FF1155CC"/>
      <name val="Arial"/>
    </font>
    <font>
      <u/>
      <sz val="10"/>
      <color rgb="FF0000FF"/>
      <name val="Arial"/>
    </font>
    <font>
      <u/>
      <sz val="10"/>
      <color rgb="FF0000FF"/>
      <name val="Arial"/>
    </font>
    <font>
      <u/>
      <sz val="10"/>
      <color rgb="FF1155CC"/>
      <name val="Arial"/>
    </font>
    <font>
      <u/>
      <sz val="10"/>
      <color rgb="FF1155CC"/>
      <name val="Arial"/>
    </font>
    <font>
      <u/>
      <sz val="10"/>
      <color rgb="FF0000FF"/>
      <name val="Arial"/>
    </font>
    <font>
      <u/>
      <sz val="10"/>
      <color rgb="FF0000FF"/>
      <name val="Arial"/>
    </font>
    <font>
      <u/>
      <sz val="10"/>
      <color rgb="FF1155CC"/>
      <name val="Arial"/>
    </font>
    <font>
      <u/>
      <sz val="10"/>
      <color rgb="FF1155CC"/>
      <name val="Arial"/>
    </font>
    <font>
      <u/>
      <sz val="10"/>
      <color rgb="FF0000FF"/>
      <name val="Arial"/>
    </font>
    <font>
      <u/>
      <sz val="10"/>
      <color rgb="FF0000FF"/>
      <name val="Arial"/>
    </font>
    <font>
      <u/>
      <sz val="10"/>
      <color rgb="FF0000FF"/>
      <name val="Arial"/>
    </font>
    <font>
      <u/>
      <sz val="10"/>
      <color rgb="FF0000FF"/>
      <name val="Arial"/>
    </font>
    <font>
      <u/>
      <sz val="10"/>
      <color rgb="FF1155CC"/>
      <name val="Arial"/>
    </font>
    <font>
      <u/>
      <sz val="10"/>
      <color rgb="FF1155CC"/>
      <name val="Arial"/>
    </font>
    <font>
      <u/>
      <sz val="10"/>
      <color rgb="FF0000FF"/>
      <name val="Arial"/>
    </font>
    <font>
      <u/>
      <sz val="10"/>
      <color rgb="FF1155CC"/>
      <name val="Arial"/>
    </font>
    <font>
      <u/>
      <sz val="10"/>
      <color rgb="FF1155CC"/>
      <name val="Arial"/>
    </font>
    <font>
      <u/>
      <sz val="10"/>
      <color rgb="FF1155CC"/>
      <name val="Arial"/>
    </font>
    <font>
      <u/>
      <sz val="10"/>
      <color rgb="FF1155CC"/>
      <name val="Arial"/>
    </font>
    <font>
      <u/>
      <sz val="10"/>
      <color rgb="FF1155CC"/>
      <name val="Arial"/>
    </font>
    <font>
      <u/>
      <sz val="10"/>
      <color rgb="FF0000FF"/>
      <name val="Arial"/>
    </font>
    <font>
      <u/>
      <sz val="10"/>
      <color rgb="FF0000FF"/>
      <name val="Arial"/>
    </font>
    <font>
      <u/>
      <sz val="10"/>
      <color rgb="FF0000FF"/>
      <name val="Arial"/>
    </font>
    <font>
      <u/>
      <sz val="10"/>
      <color rgb="FF1155CC"/>
      <name val="Arial"/>
    </font>
    <font>
      <u/>
      <sz val="10"/>
      <color rgb="FF0000FF"/>
      <name val="Arial"/>
    </font>
    <font>
      <u/>
      <sz val="10"/>
      <color rgb="FF0000FF"/>
      <name val="Arial"/>
    </font>
    <font>
      <u/>
      <sz val="10"/>
      <color rgb="FF0000FF"/>
      <name val="Arial"/>
    </font>
    <font>
      <b/>
      <u/>
      <sz val="10"/>
      <color rgb="FF0000FF"/>
      <name val="Arial"/>
    </font>
    <font>
      <sz val="10"/>
      <name val="Arial"/>
    </font>
    <font>
      <u/>
      <sz val="10"/>
      <color rgb="FF1155CC"/>
      <name val="Arial"/>
    </font>
    <font>
      <b/>
      <u/>
      <sz val="10"/>
      <color rgb="FF0000FF"/>
      <name val="Arial"/>
    </font>
    <font>
      <u/>
      <sz val="10"/>
      <color rgb="FF0000FF"/>
      <name val="Arial"/>
    </font>
    <font>
      <u/>
      <sz val="10"/>
      <color rgb="FF1155CC"/>
      <name val="Arial"/>
    </font>
    <font>
      <b/>
      <u/>
      <sz val="10"/>
      <color rgb="FF1155CC"/>
      <name val="Arial"/>
    </font>
    <font>
      <b/>
      <u/>
      <sz val="10"/>
      <color rgb="FF1155CC"/>
      <name val="Arial"/>
    </font>
    <font>
      <b/>
      <u/>
      <sz val="10"/>
      <color rgb="FF1155CC"/>
      <name val="Arial"/>
    </font>
    <font>
      <b/>
      <u/>
      <sz val="10"/>
      <color rgb="FF1155CC"/>
      <name val="Arial"/>
    </font>
    <font>
      <b/>
      <u/>
      <sz val="10"/>
      <color rgb="FF1155CC"/>
      <name val="Arial"/>
    </font>
    <font>
      <b/>
      <sz val="10"/>
      <name val="Roboto"/>
    </font>
    <font>
      <b/>
      <u/>
      <sz val="10"/>
      <color rgb="FF0000FF"/>
      <name val="Arial"/>
    </font>
    <font>
      <b/>
      <u/>
      <sz val="10"/>
      <color rgb="FF1155CC"/>
      <name val="Arial"/>
    </font>
    <font>
      <b/>
      <u/>
      <sz val="10"/>
      <color rgb="FF1155CC"/>
      <name val="Arial"/>
    </font>
    <font>
      <b/>
      <u/>
      <sz val="10"/>
      <color rgb="FF0000FF"/>
      <name val="Arial"/>
    </font>
    <font>
      <b/>
      <u/>
      <sz val="10"/>
      <color rgb="FF1155CC"/>
      <name val="Arial"/>
    </font>
    <font>
      <b/>
      <u/>
      <sz val="10"/>
      <color rgb="FF1155CC"/>
      <name val="Arial"/>
    </font>
    <font>
      <b/>
      <u/>
      <sz val="10"/>
      <color rgb="FF1155CC"/>
      <name val="Arial"/>
    </font>
    <font>
      <b/>
      <u/>
      <sz val="10"/>
      <color rgb="FF1155CC"/>
      <name val="Arial"/>
    </font>
    <font>
      <b/>
      <sz val="18"/>
      <name val="Arial"/>
    </font>
    <font>
      <b/>
      <u/>
      <sz val="10"/>
      <color rgb="FF0000FF"/>
      <name val="Arial"/>
    </font>
    <font>
      <u/>
      <sz val="10"/>
      <color rgb="FF0000FF"/>
      <name val="Arial"/>
    </font>
    <font>
      <b/>
      <sz val="10"/>
      <color rgb="FF0000FF"/>
      <name val="Arial"/>
    </font>
    <font>
      <u/>
      <sz val="10"/>
      <color rgb="FF000000"/>
      <name val="Arial"/>
    </font>
    <font>
      <b/>
      <sz val="12"/>
      <color rgb="FF0000FF"/>
      <name val="Arial"/>
    </font>
    <font>
      <b/>
      <sz val="10"/>
      <name val="arial,sans,sans-serif"/>
    </font>
    <font>
      <sz val="10"/>
      <name val="arial,sans,sans-serif"/>
    </font>
    <font>
      <sz val="10"/>
      <color rgb="FF9900FF"/>
      <name val="Arial"/>
    </font>
    <font>
      <b/>
      <sz val="10"/>
      <color rgb="FF0000FF"/>
      <name val="'Arial'"/>
    </font>
    <font>
      <b/>
      <sz val="10"/>
      <color rgb="FF000000"/>
      <name val="'Arial'"/>
    </font>
    <font>
      <b/>
      <sz val="10"/>
      <color rgb="FF9900FF"/>
      <name val="Arial"/>
    </font>
    <font>
      <sz val="10"/>
      <name val="Arial"/>
      <family val="2"/>
    </font>
    <font>
      <b/>
      <u/>
      <sz val="10"/>
      <color rgb="FF1155CC"/>
      <name val="Arial"/>
      <family val="2"/>
    </font>
    <font>
      <u/>
      <sz val="10"/>
      <color rgb="FF0000FF"/>
      <name val="Arial"/>
      <family val="2"/>
    </font>
    <font>
      <i/>
      <sz val="10"/>
      <name val="Arial"/>
      <family val="2"/>
    </font>
    <font>
      <u/>
      <sz val="10"/>
      <color rgb="FF1155CC"/>
      <name val="Arial"/>
      <family val="2"/>
    </font>
    <font>
      <b/>
      <sz val="10"/>
      <name val="Arial"/>
      <family val="2"/>
    </font>
    <font>
      <u/>
      <sz val="10"/>
      <color theme="10"/>
      <name val="Arial"/>
    </font>
    <font>
      <sz val="9"/>
      <name val="Arial"/>
      <family val="2"/>
    </font>
    <font>
      <sz val="9"/>
      <color rgb="FF000000"/>
      <name val="Arial"/>
      <family val="2"/>
    </font>
    <font>
      <sz val="10"/>
      <color theme="1"/>
      <name val="Arial"/>
      <family val="2"/>
    </font>
  </fonts>
  <fills count="15">
    <fill>
      <patternFill patternType="none"/>
    </fill>
    <fill>
      <patternFill patternType="gray125"/>
    </fill>
    <fill>
      <patternFill patternType="solid">
        <fgColor rgb="FFFFFFFF"/>
        <bgColor rgb="FFFFFFFF"/>
      </patternFill>
    </fill>
    <fill>
      <patternFill patternType="solid">
        <fgColor rgb="FFA4C2F4"/>
        <bgColor rgb="FFA4C2F4"/>
      </patternFill>
    </fill>
    <fill>
      <patternFill patternType="solid">
        <fgColor rgb="FF00FF00"/>
        <bgColor rgb="FF00FF00"/>
      </patternFill>
    </fill>
    <fill>
      <patternFill patternType="solid">
        <fgColor rgb="FFFFD966"/>
        <bgColor rgb="FFFFD966"/>
      </patternFill>
    </fill>
    <fill>
      <patternFill patternType="solid">
        <fgColor rgb="FFEAD1DC"/>
        <bgColor rgb="FFEAD1DC"/>
      </patternFill>
    </fill>
    <fill>
      <patternFill patternType="solid">
        <fgColor rgb="FFD5A6BD"/>
        <bgColor rgb="FFD5A6BD"/>
      </patternFill>
    </fill>
    <fill>
      <patternFill patternType="solid">
        <fgColor rgb="FFFFFF00"/>
        <bgColor rgb="FFFFFF00"/>
      </patternFill>
    </fill>
    <fill>
      <patternFill patternType="solid">
        <fgColor rgb="FFFF00FF"/>
        <bgColor rgb="FFFF00FF"/>
      </patternFill>
    </fill>
    <fill>
      <patternFill patternType="solid">
        <fgColor rgb="FF6AA84F"/>
        <bgColor rgb="FF6AA84F"/>
      </patternFill>
    </fill>
    <fill>
      <patternFill patternType="solid">
        <fgColor rgb="FFEA9999"/>
        <bgColor rgb="FFEA9999"/>
      </patternFill>
    </fill>
    <fill>
      <patternFill patternType="solid">
        <fgColor rgb="FFFF9900"/>
        <bgColor rgb="FFFF9900"/>
      </patternFill>
    </fill>
    <fill>
      <patternFill patternType="solid">
        <fgColor rgb="FF351C75"/>
        <bgColor rgb="FF351C75"/>
      </patternFill>
    </fill>
    <fill>
      <patternFill patternType="solid">
        <fgColor rgb="FF00FFFF"/>
        <bgColor rgb="FF00FFFF"/>
      </patternFill>
    </fill>
  </fills>
  <borders count="10">
    <border>
      <left/>
      <right/>
      <top/>
      <bottom/>
      <diagonal/>
    </border>
    <border>
      <left style="thin">
        <color rgb="FFCCCCCC"/>
      </left>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2">
    <xf numFmtId="0" fontId="0" fillId="0" borderId="0"/>
    <xf numFmtId="0" fontId="267" fillId="0" borderId="0" applyNumberFormat="0" applyFill="0" applyBorder="0" applyAlignment="0" applyProtection="0"/>
  </cellStyleXfs>
  <cellXfs count="420">
    <xf numFmtId="0" fontId="0" fillId="0" borderId="0" xfId="0" applyAlignment="1">
      <alignment wrapText="1"/>
    </xf>
    <xf numFmtId="0" fontId="1" fillId="2" borderId="0" xfId="0" applyFont="1" applyFill="1" applyAlignment="1">
      <alignment horizontal="left" vertical="center" wrapText="1"/>
    </xf>
    <xf numFmtId="0" fontId="2" fillId="2" borderId="0" xfId="0" applyFont="1" applyFill="1" applyAlignment="1">
      <alignment horizontal="left" vertical="center" wrapText="1"/>
    </xf>
    <xf numFmtId="0" fontId="2" fillId="2" borderId="0" xfId="0" applyFont="1" applyFill="1" applyAlignment="1">
      <alignment wrapText="1"/>
    </xf>
    <xf numFmtId="0" fontId="3" fillId="2" borderId="0" xfId="0" applyFont="1" applyFill="1" applyAlignment="1">
      <alignment horizontal="center" wrapText="1"/>
    </xf>
    <xf numFmtId="0" fontId="4" fillId="2" borderId="0" xfId="0" applyFont="1" applyFill="1" applyAlignment="1">
      <alignment horizontal="left" vertical="center" wrapText="1"/>
    </xf>
    <xf numFmtId="0" fontId="2" fillId="2" borderId="0" xfId="0" applyFont="1" applyFill="1" applyAlignment="1">
      <alignment horizontal="center" vertical="center" wrapText="1"/>
    </xf>
    <xf numFmtId="0" fontId="6" fillId="2" borderId="0" xfId="0" applyFont="1" applyFill="1" applyAlignment="1">
      <alignment wrapText="1"/>
    </xf>
    <xf numFmtId="0" fontId="8" fillId="2" borderId="0" xfId="0" applyFont="1" applyFill="1" applyAlignment="1">
      <alignment horizontal="left" vertical="center" wrapText="1"/>
    </xf>
    <xf numFmtId="0" fontId="1" fillId="0" borderId="0" xfId="0" applyFont="1" applyAlignment="1">
      <alignment horizontal="left" vertical="center" wrapText="1"/>
    </xf>
    <xf numFmtId="0" fontId="2" fillId="0" borderId="0" xfId="0" applyFont="1" applyAlignment="1">
      <alignment wrapText="1"/>
    </xf>
    <xf numFmtId="0" fontId="10" fillId="2" borderId="0" xfId="0" applyFont="1" applyFill="1" applyAlignment="1">
      <alignment wrapText="1"/>
    </xf>
    <xf numFmtId="0" fontId="11" fillId="0" borderId="0" xfId="0" applyFont="1" applyAlignment="1">
      <alignment wrapText="1"/>
    </xf>
    <xf numFmtId="0" fontId="2" fillId="2" borderId="0" xfId="0" applyFont="1" applyFill="1"/>
    <xf numFmtId="0" fontId="15" fillId="0" borderId="0" xfId="0" applyFont="1" applyAlignment="1">
      <alignment wrapText="1"/>
    </xf>
    <xf numFmtId="0" fontId="16" fillId="0" borderId="0" xfId="0" applyFont="1" applyAlignment="1">
      <alignment wrapText="1"/>
    </xf>
    <xf numFmtId="0" fontId="17" fillId="0" borderId="0" xfId="0" applyFont="1" applyAlignment="1">
      <alignment horizontal="left" vertical="center" wrapText="1"/>
    </xf>
    <xf numFmtId="0" fontId="1" fillId="4" borderId="0" xfId="0" applyFont="1" applyFill="1" applyAlignment="1">
      <alignment horizontal="left" vertical="center" wrapText="1"/>
    </xf>
    <xf numFmtId="0" fontId="9" fillId="2" borderId="0" xfId="0" applyFont="1" applyFill="1" applyAlignment="1">
      <alignment horizontal="left" wrapText="1"/>
    </xf>
    <xf numFmtId="0" fontId="2" fillId="2" borderId="0" xfId="0" applyFont="1" applyFill="1" applyAlignment="1">
      <alignment horizontal="center" wrapText="1"/>
    </xf>
    <xf numFmtId="0" fontId="1" fillId="2" borderId="0" xfId="0" applyFont="1" applyFill="1" applyAlignment="1">
      <alignment vertical="center" wrapText="1"/>
    </xf>
    <xf numFmtId="0" fontId="18" fillId="2" borderId="0" xfId="0" applyFont="1" applyFill="1" applyAlignment="1">
      <alignment wrapText="1"/>
    </xf>
    <xf numFmtId="0" fontId="19" fillId="0" borderId="0" xfId="0" applyFont="1" applyAlignment="1">
      <alignment horizontal="left" vertical="top" wrapText="1"/>
    </xf>
    <xf numFmtId="0" fontId="20" fillId="6" borderId="0" xfId="0" applyFont="1" applyFill="1" applyAlignment="1">
      <alignment wrapText="1"/>
    </xf>
    <xf numFmtId="0" fontId="21" fillId="7" borderId="0" xfId="0" applyFont="1" applyFill="1" applyAlignment="1">
      <alignment wrapText="1"/>
    </xf>
    <xf numFmtId="0" fontId="22" fillId="4" borderId="0" xfId="0" applyFont="1" applyFill="1"/>
    <xf numFmtId="0" fontId="24" fillId="2" borderId="0" xfId="0" applyFont="1" applyFill="1"/>
    <xf numFmtId="0" fontId="1" fillId="0" borderId="0" xfId="0" applyFont="1" applyAlignment="1">
      <alignment vertical="center" wrapText="1"/>
    </xf>
    <xf numFmtId="0" fontId="2" fillId="0" borderId="0" xfId="0" applyFont="1" applyAlignment="1">
      <alignment horizontal="left" wrapText="1"/>
    </xf>
    <xf numFmtId="0" fontId="11" fillId="8" borderId="0" xfId="0" applyFont="1" applyFill="1" applyAlignment="1">
      <alignment wrapText="1"/>
    </xf>
    <xf numFmtId="0" fontId="2" fillId="8" borderId="0" xfId="0" applyFont="1" applyFill="1" applyAlignment="1">
      <alignment wrapText="1"/>
    </xf>
    <xf numFmtId="0" fontId="27" fillId="0" borderId="0" xfId="0" applyFont="1" applyAlignment="1">
      <alignment wrapText="1"/>
    </xf>
    <xf numFmtId="0" fontId="2" fillId="8" borderId="0" xfId="0" applyFont="1" applyFill="1" applyAlignment="1">
      <alignment horizontal="center" vertical="center" wrapText="1"/>
    </xf>
    <xf numFmtId="164" fontId="2" fillId="8" borderId="0" xfId="0" applyNumberFormat="1" applyFont="1" applyFill="1" applyAlignment="1">
      <alignment horizontal="center" vertical="center" wrapText="1"/>
    </xf>
    <xf numFmtId="0" fontId="2" fillId="8" borderId="0" xfId="0" applyFont="1" applyFill="1" applyAlignment="1">
      <alignment horizontal="left" vertical="center"/>
    </xf>
    <xf numFmtId="0" fontId="28" fillId="0" borderId="0" xfId="0" applyFont="1" applyAlignment="1">
      <alignment vertical="center"/>
    </xf>
    <xf numFmtId="0" fontId="2" fillId="0" borderId="0" xfId="0" applyFont="1" applyAlignment="1">
      <alignment horizontal="center" vertical="center" wrapText="1"/>
    </xf>
    <xf numFmtId="0" fontId="2" fillId="9" borderId="0" xfId="0" applyFont="1" applyFill="1" applyAlignment="1">
      <alignment horizontal="center" wrapText="1"/>
    </xf>
    <xf numFmtId="0" fontId="2" fillId="9" borderId="0" xfId="0" applyFont="1" applyFill="1" applyAlignment="1">
      <alignment horizontal="center"/>
    </xf>
    <xf numFmtId="0" fontId="2" fillId="9" borderId="0" xfId="0" applyFont="1" applyFill="1" applyAlignment="1">
      <alignment horizontal="left" wrapText="1"/>
    </xf>
    <xf numFmtId="0" fontId="2" fillId="0" borderId="0" xfId="0" applyFont="1" applyAlignment="1">
      <alignment vertical="center"/>
    </xf>
    <xf numFmtId="0" fontId="2" fillId="0" borderId="0" xfId="0" applyFont="1" applyAlignment="1">
      <alignment vertical="center" wrapText="1"/>
    </xf>
    <xf numFmtId="0" fontId="29" fillId="0" borderId="0" xfId="0" applyFont="1" applyAlignment="1">
      <alignment vertical="center" wrapText="1"/>
    </xf>
    <xf numFmtId="0" fontId="2" fillId="0" borderId="0" xfId="0" applyFont="1" applyAlignment="1">
      <alignment horizontal="left" vertical="center" wrapText="1"/>
    </xf>
    <xf numFmtId="0" fontId="2" fillId="10" borderId="0" xfId="0" applyFont="1" applyFill="1" applyAlignment="1">
      <alignment horizontal="center" vertical="center" wrapText="1"/>
    </xf>
    <xf numFmtId="0" fontId="2" fillId="11" borderId="0" xfId="0" applyFont="1" applyFill="1" applyAlignment="1">
      <alignment horizontal="center" vertical="center" wrapText="1"/>
    </xf>
    <xf numFmtId="0" fontId="11" fillId="0" borderId="0" xfId="0" applyFont="1"/>
    <xf numFmtId="0" fontId="30" fillId="0" borderId="0" xfId="0" applyFont="1" applyAlignment="1">
      <alignment horizontal="left" vertical="center"/>
    </xf>
    <xf numFmtId="0" fontId="31" fillId="0" borderId="0" xfId="0" applyFont="1" applyAlignment="1">
      <alignment horizontal="left" vertical="center"/>
    </xf>
    <xf numFmtId="0" fontId="11" fillId="0" borderId="0" xfId="0" applyFont="1" applyAlignment="1">
      <alignment vertical="center"/>
    </xf>
    <xf numFmtId="0" fontId="32" fillId="0" borderId="0" xfId="0" applyFont="1" applyAlignment="1">
      <alignment horizontal="left" vertical="center" wrapText="1"/>
    </xf>
    <xf numFmtId="0" fontId="33" fillId="0" borderId="0" xfId="0" applyFont="1" applyAlignment="1">
      <alignment vertical="center"/>
    </xf>
    <xf numFmtId="0" fontId="34" fillId="0" borderId="0" xfId="0" applyFont="1"/>
    <xf numFmtId="0" fontId="2" fillId="0" borderId="0" xfId="0" applyFont="1" applyAlignment="1">
      <alignment horizontal="left" vertical="center"/>
    </xf>
    <xf numFmtId="0" fontId="35" fillId="0" borderId="0" xfId="0" applyFont="1" applyAlignment="1">
      <alignment horizontal="left" vertical="center"/>
    </xf>
    <xf numFmtId="0" fontId="36" fillId="0" borderId="0" xfId="0" applyFont="1" applyAlignment="1">
      <alignment vertical="center"/>
    </xf>
    <xf numFmtId="0" fontId="2" fillId="0" borderId="0" xfId="0" applyFont="1"/>
    <xf numFmtId="0" fontId="37" fillId="0" borderId="0" xfId="0" applyFont="1" applyAlignment="1">
      <alignment wrapText="1"/>
    </xf>
    <xf numFmtId="0" fontId="38" fillId="0" borderId="0" xfId="0" applyFont="1"/>
    <xf numFmtId="0" fontId="39" fillId="0" borderId="0" xfId="0" applyFont="1"/>
    <xf numFmtId="0" fontId="2" fillId="0" borderId="0" xfId="0" applyFont="1" applyAlignment="1">
      <alignment horizontal="left"/>
    </xf>
    <xf numFmtId="0" fontId="40" fillId="0" borderId="0" xfId="0" applyFont="1" applyAlignment="1">
      <alignment horizontal="left" wrapText="1"/>
    </xf>
    <xf numFmtId="0" fontId="41" fillId="0" borderId="0" xfId="0" applyFont="1"/>
    <xf numFmtId="0" fontId="42" fillId="0" borderId="0" xfId="0" applyFont="1" applyAlignment="1">
      <alignment wrapText="1"/>
    </xf>
    <xf numFmtId="0" fontId="43" fillId="0" borderId="0" xfId="0" applyFont="1"/>
    <xf numFmtId="0" fontId="11" fillId="0" borderId="0" xfId="0" applyFont="1" applyAlignment="1">
      <alignment horizontal="left" vertical="center"/>
    </xf>
    <xf numFmtId="0" fontId="44" fillId="0" borderId="0" xfId="0" applyFont="1" applyAlignment="1">
      <alignment horizontal="left" wrapText="1"/>
    </xf>
    <xf numFmtId="0" fontId="2" fillId="0" borderId="0" xfId="0" applyFont="1" applyAlignment="1">
      <alignment horizontal="center" wrapText="1"/>
    </xf>
    <xf numFmtId="0" fontId="45" fillId="0" borderId="0" xfId="0" applyFont="1" applyAlignment="1">
      <alignment horizontal="left" wrapText="1"/>
    </xf>
    <xf numFmtId="0" fontId="46" fillId="0" borderId="0" xfId="0" applyFont="1" applyAlignment="1">
      <alignment horizontal="left" wrapText="1"/>
    </xf>
    <xf numFmtId="0" fontId="47" fillId="0" borderId="0" xfId="0" applyFont="1"/>
    <xf numFmtId="0" fontId="48" fillId="0" borderId="0" xfId="0" applyFont="1" applyAlignment="1">
      <alignment horizontal="left" wrapText="1"/>
    </xf>
    <xf numFmtId="0" fontId="49" fillId="0" borderId="0" xfId="0" applyFont="1"/>
    <xf numFmtId="0" fontId="2" fillId="12" borderId="0" xfId="0" applyFont="1" applyFill="1" applyAlignment="1">
      <alignment horizontal="left"/>
    </xf>
    <xf numFmtId="0" fontId="2" fillId="6" borderId="0" xfId="0" applyFont="1" applyFill="1"/>
    <xf numFmtId="0" fontId="50" fillId="6" borderId="0" xfId="0" applyFont="1" applyFill="1" applyAlignment="1">
      <alignment wrapText="1"/>
    </xf>
    <xf numFmtId="0" fontId="51" fillId="0" borderId="0" xfId="0" applyFont="1"/>
    <xf numFmtId="0" fontId="52" fillId="6" borderId="0" xfId="0" applyFont="1" applyFill="1" applyAlignment="1">
      <alignment wrapText="1"/>
    </xf>
    <xf numFmtId="0" fontId="53" fillId="0" borderId="0" xfId="0" applyFont="1"/>
    <xf numFmtId="0" fontId="2" fillId="7" borderId="0" xfId="0" applyFont="1" applyFill="1"/>
    <xf numFmtId="0" fontId="54" fillId="7" borderId="0" xfId="0" applyFont="1" applyFill="1"/>
    <xf numFmtId="0" fontId="55" fillId="0" borderId="0" xfId="0" applyFont="1" applyAlignment="1">
      <alignment horizontal="center" vertical="center" wrapText="1"/>
    </xf>
    <xf numFmtId="0" fontId="56" fillId="0" borderId="0" xfId="0" applyFont="1"/>
    <xf numFmtId="0" fontId="57" fillId="0" borderId="0" xfId="0" applyFont="1" applyAlignment="1">
      <alignment wrapText="1"/>
    </xf>
    <xf numFmtId="0" fontId="58" fillId="0" borderId="0" xfId="0" applyFont="1"/>
    <xf numFmtId="0" fontId="59" fillId="12" borderId="0" xfId="0" applyFont="1" applyFill="1"/>
    <xf numFmtId="0" fontId="60" fillId="6" borderId="0" xfId="0" applyFont="1" applyFill="1" applyAlignment="1">
      <alignment wrapText="1"/>
    </xf>
    <xf numFmtId="0" fontId="61" fillId="0" borderId="0" xfId="0" applyFont="1"/>
    <xf numFmtId="0" fontId="62" fillId="0" borderId="0" xfId="0" applyFont="1" applyAlignment="1">
      <alignment vertical="center" wrapText="1"/>
    </xf>
    <xf numFmtId="0" fontId="63" fillId="0" borderId="0" xfId="0" applyFont="1"/>
    <xf numFmtId="0" fontId="11" fillId="0" borderId="0" xfId="0" applyFont="1" applyAlignment="1">
      <alignment vertical="center" wrapText="1"/>
    </xf>
    <xf numFmtId="0" fontId="2" fillId="6" borderId="0" xfId="0" applyFont="1" applyFill="1" applyAlignment="1">
      <alignment vertical="center"/>
    </xf>
    <xf numFmtId="0" fontId="64" fillId="6" borderId="0" xfId="0" applyFont="1" applyFill="1" applyAlignment="1">
      <alignment vertical="center"/>
    </xf>
    <xf numFmtId="0" fontId="11" fillId="0" borderId="0" xfId="0" applyFont="1" applyAlignment="1">
      <alignment horizontal="center" vertical="center" wrapText="1"/>
    </xf>
    <xf numFmtId="0" fontId="65" fillId="0" borderId="0" xfId="0" applyFont="1" applyAlignment="1">
      <alignment vertical="center"/>
    </xf>
    <xf numFmtId="0" fontId="66" fillId="0" borderId="0" xfId="0" applyFont="1" applyAlignment="1">
      <alignment wrapText="1"/>
    </xf>
    <xf numFmtId="0" fontId="67" fillId="0" borderId="0" xfId="0" applyFont="1" applyAlignment="1">
      <alignment horizontal="left" wrapText="1"/>
    </xf>
    <xf numFmtId="0" fontId="68" fillId="0" borderId="0" xfId="0" applyFont="1"/>
    <xf numFmtId="0" fontId="69" fillId="0" borderId="0" xfId="0" applyFont="1" applyAlignment="1">
      <alignment vertical="center" wrapText="1"/>
    </xf>
    <xf numFmtId="0" fontId="70" fillId="0" borderId="0" xfId="0" applyFont="1" applyAlignment="1">
      <alignment vertical="center" wrapText="1"/>
    </xf>
    <xf numFmtId="0" fontId="71" fillId="6" borderId="0" xfId="0" applyFont="1" applyFill="1" applyAlignment="1">
      <alignment vertical="center" wrapText="1"/>
    </xf>
    <xf numFmtId="0" fontId="72" fillId="6" borderId="0" xfId="0" applyFont="1" applyFill="1" applyAlignment="1">
      <alignment vertical="center"/>
    </xf>
    <xf numFmtId="0" fontId="2" fillId="13" borderId="0" xfId="0" applyFont="1" applyFill="1" applyAlignment="1">
      <alignment vertical="center"/>
    </xf>
    <xf numFmtId="0" fontId="2" fillId="13" borderId="0" xfId="0" applyFont="1" applyFill="1" applyAlignment="1">
      <alignment vertical="center" wrapText="1"/>
    </xf>
    <xf numFmtId="0" fontId="2" fillId="13" borderId="0" xfId="0" applyFont="1" applyFill="1" applyAlignment="1">
      <alignment horizontal="center" vertical="center" wrapText="1"/>
    </xf>
    <xf numFmtId="0" fontId="2" fillId="0" borderId="0" xfId="0" applyFont="1" applyAlignment="1">
      <alignment horizontal="right" wrapText="1"/>
    </xf>
    <xf numFmtId="0" fontId="73" fillId="0" borderId="0" xfId="0" applyFont="1" applyAlignment="1">
      <alignment vertical="center" wrapText="1"/>
    </xf>
    <xf numFmtId="0" fontId="74" fillId="0" borderId="0" xfId="0" applyFont="1"/>
    <xf numFmtId="164" fontId="2" fillId="8" borderId="0" xfId="0" applyNumberFormat="1" applyFont="1" applyFill="1" applyAlignment="1">
      <alignment horizontal="center" vertical="center"/>
    </xf>
    <xf numFmtId="0" fontId="28" fillId="0" borderId="0" xfId="0" applyFont="1"/>
    <xf numFmtId="0" fontId="75" fillId="0" borderId="0" xfId="0" applyFont="1" applyAlignment="1">
      <alignment horizontal="left" vertical="top"/>
    </xf>
    <xf numFmtId="0" fontId="76" fillId="0" borderId="0" xfId="0" applyFont="1" applyAlignment="1">
      <alignment horizontal="left" vertical="top"/>
    </xf>
    <xf numFmtId="0" fontId="77" fillId="0" borderId="0" xfId="0" applyFont="1" applyAlignment="1">
      <alignment wrapText="1"/>
    </xf>
    <xf numFmtId="0" fontId="78" fillId="0" borderId="0" xfId="0" applyFont="1" applyAlignment="1">
      <alignment horizontal="left" vertical="top"/>
    </xf>
    <xf numFmtId="0" fontId="79" fillId="0" borderId="0" xfId="0" applyFont="1" applyAlignment="1">
      <alignment horizontal="left" vertical="top"/>
    </xf>
    <xf numFmtId="0" fontId="80" fillId="6" borderId="0" xfId="0" applyFont="1" applyFill="1" applyAlignment="1">
      <alignment wrapText="1"/>
    </xf>
    <xf numFmtId="0" fontId="81" fillId="0" borderId="0" xfId="0" applyFont="1" applyAlignment="1">
      <alignment horizontal="left"/>
    </xf>
    <xf numFmtId="0" fontId="82" fillId="7" borderId="0" xfId="0" applyFont="1" applyFill="1"/>
    <xf numFmtId="0" fontId="83" fillId="7" borderId="0" xfId="0" applyFont="1" applyFill="1"/>
    <xf numFmtId="0" fontId="84" fillId="0" borderId="0" xfId="0" applyFont="1"/>
    <xf numFmtId="0" fontId="85" fillId="0" borderId="0" xfId="0" applyFont="1" applyAlignment="1">
      <alignment horizontal="left" wrapText="1"/>
    </xf>
    <xf numFmtId="0" fontId="86" fillId="0" borderId="0" xfId="0" applyFont="1" applyAlignment="1">
      <alignment horizontal="left" wrapText="1"/>
    </xf>
    <xf numFmtId="0" fontId="2" fillId="7" borderId="0" xfId="0" applyFont="1" applyFill="1" applyAlignment="1">
      <alignment wrapText="1"/>
    </xf>
    <xf numFmtId="0" fontId="87" fillId="7" borderId="0" xfId="0" applyFont="1" applyFill="1" applyAlignment="1">
      <alignment wrapText="1"/>
    </xf>
    <xf numFmtId="0" fontId="88" fillId="0" borderId="0" xfId="0" applyFont="1"/>
    <xf numFmtId="0" fontId="89" fillId="0" borderId="0" xfId="0" applyFont="1"/>
    <xf numFmtId="0" fontId="90" fillId="0" borderId="0" xfId="0" applyFont="1"/>
    <xf numFmtId="0" fontId="91" fillId="0" borderId="0" xfId="0" applyFont="1" applyAlignment="1">
      <alignment horizontal="left" vertical="top"/>
    </xf>
    <xf numFmtId="0" fontId="92" fillId="6" borderId="0" xfId="0" applyFont="1" applyFill="1"/>
    <xf numFmtId="0" fontId="93" fillId="7" borderId="0" xfId="0" applyFont="1" applyFill="1" applyAlignment="1">
      <alignment wrapText="1"/>
    </xf>
    <xf numFmtId="0" fontId="94" fillId="0" borderId="0" xfId="0" applyFont="1" applyAlignment="1">
      <alignment wrapText="1"/>
    </xf>
    <xf numFmtId="0" fontId="95" fillId="0" borderId="0" xfId="0" applyFont="1" applyAlignment="1">
      <alignment wrapText="1"/>
    </xf>
    <xf numFmtId="0" fontId="96" fillId="0" borderId="0" xfId="0" applyFont="1" applyAlignment="1">
      <alignment wrapText="1"/>
    </xf>
    <xf numFmtId="0" fontId="97" fillId="0" borderId="0" xfId="0" applyFont="1" applyAlignment="1">
      <alignment wrapText="1"/>
    </xf>
    <xf numFmtId="0" fontId="98" fillId="0" borderId="0" xfId="0" applyFont="1" applyAlignment="1">
      <alignment wrapText="1"/>
    </xf>
    <xf numFmtId="0" fontId="99" fillId="0" borderId="0" xfId="0" applyFont="1" applyAlignment="1">
      <alignment wrapText="1"/>
    </xf>
    <xf numFmtId="0" fontId="100" fillId="0" borderId="0" xfId="0" applyFont="1"/>
    <xf numFmtId="0" fontId="101" fillId="0" borderId="0" xfId="0" applyFont="1" applyAlignment="1">
      <alignment horizontal="left" wrapText="1"/>
    </xf>
    <xf numFmtId="0" fontId="102" fillId="0" borderId="0" xfId="0" applyFont="1" applyAlignment="1">
      <alignment vertical="center"/>
    </xf>
    <xf numFmtId="0" fontId="103" fillId="6" borderId="0" xfId="0" applyFont="1" applyFill="1"/>
    <xf numFmtId="0" fontId="104" fillId="6" borderId="0" xfId="0" applyFont="1" applyFill="1"/>
    <xf numFmtId="0" fontId="105" fillId="7" borderId="0" xfId="0" applyFont="1" applyFill="1"/>
    <xf numFmtId="0" fontId="2" fillId="13" borderId="0" xfId="0" applyFont="1" applyFill="1"/>
    <xf numFmtId="0" fontId="2" fillId="13" borderId="0" xfId="0" applyFont="1" applyFill="1" applyAlignment="1">
      <alignment wrapText="1"/>
    </xf>
    <xf numFmtId="0" fontId="2" fillId="13" borderId="0" xfId="0" applyFont="1" applyFill="1" applyAlignment="1">
      <alignment horizontal="center" wrapText="1"/>
    </xf>
    <xf numFmtId="0" fontId="2" fillId="0" borderId="0" xfId="0" applyFont="1" applyAlignment="1">
      <alignment vertical="top" wrapText="1"/>
    </xf>
    <xf numFmtId="0" fontId="106" fillId="0" borderId="0" xfId="0" applyFont="1" applyAlignment="1">
      <alignment horizontal="left"/>
    </xf>
    <xf numFmtId="0" fontId="107" fillId="0" borderId="0" xfId="0" applyFont="1"/>
    <xf numFmtId="0" fontId="108" fillId="7" borderId="0" xfId="0" applyFont="1" applyFill="1"/>
    <xf numFmtId="0" fontId="109" fillId="7" borderId="0" xfId="0" applyFont="1" applyFill="1"/>
    <xf numFmtId="0" fontId="2" fillId="4" borderId="0" xfId="0" applyFont="1" applyFill="1"/>
    <xf numFmtId="0" fontId="110" fillId="6" borderId="0" xfId="0" applyFont="1" applyFill="1" applyAlignment="1">
      <alignment horizontal="left" vertical="center"/>
    </xf>
    <xf numFmtId="0" fontId="111" fillId="6" borderId="0" xfId="0" applyFont="1" applyFill="1"/>
    <xf numFmtId="0" fontId="112" fillId="7" borderId="0" xfId="0" applyFont="1" applyFill="1"/>
    <xf numFmtId="0" fontId="113" fillId="0" borderId="0" xfId="0" applyFont="1" applyAlignment="1">
      <alignment horizontal="left"/>
    </xf>
    <xf numFmtId="0" fontId="114" fillId="7" borderId="0" xfId="0" applyFont="1" applyFill="1"/>
    <xf numFmtId="0" fontId="115" fillId="0" borderId="0" xfId="0" applyFont="1"/>
    <xf numFmtId="0" fontId="116" fillId="6" borderId="0" xfId="0" applyFont="1" applyFill="1"/>
    <xf numFmtId="0" fontId="117" fillId="6" borderId="0" xfId="0" applyFont="1" applyFill="1"/>
    <xf numFmtId="0" fontId="29" fillId="0" borderId="0" xfId="0" applyFont="1" applyAlignment="1">
      <alignment wrapText="1"/>
    </xf>
    <xf numFmtId="0" fontId="118" fillId="0" borderId="0" xfId="0" applyFont="1"/>
    <xf numFmtId="0" fontId="119" fillId="0" borderId="0" xfId="0" applyFont="1" applyAlignment="1">
      <alignment horizontal="left" wrapText="1"/>
    </xf>
    <xf numFmtId="0" fontId="120" fillId="0" borderId="0" xfId="0" applyFont="1"/>
    <xf numFmtId="0" fontId="121" fillId="0" borderId="0" xfId="0" applyFont="1" applyAlignment="1">
      <alignment horizontal="left"/>
    </xf>
    <xf numFmtId="0" fontId="122" fillId="7" borderId="0" xfId="0" applyFont="1" applyFill="1"/>
    <xf numFmtId="0" fontId="123" fillId="0" borderId="0" xfId="0" applyFont="1" applyAlignment="1">
      <alignment horizontal="left"/>
    </xf>
    <xf numFmtId="0" fontId="124" fillId="4" borderId="0" xfId="0" applyFont="1" applyFill="1"/>
    <xf numFmtId="0" fontId="125" fillId="0" borderId="0" xfId="0" applyFont="1"/>
    <xf numFmtId="0" fontId="126" fillId="6" borderId="0" xfId="0" applyFont="1" applyFill="1"/>
    <xf numFmtId="0" fontId="127" fillId="0" borderId="0" xfId="0" applyFont="1"/>
    <xf numFmtId="0" fontId="128" fillId="0" borderId="0" xfId="0" applyFont="1" applyAlignment="1">
      <alignment horizontal="left" wrapText="1"/>
    </xf>
    <xf numFmtId="0" fontId="129" fillId="0" borderId="0" xfId="0" applyFont="1"/>
    <xf numFmtId="0" fontId="26" fillId="0" borderId="0" xfId="0" applyFont="1" applyAlignment="1">
      <alignment wrapText="1"/>
    </xf>
    <xf numFmtId="0" fontId="130" fillId="0" borderId="0" xfId="0" applyFont="1" applyAlignment="1">
      <alignment horizontal="left" vertical="top"/>
    </xf>
    <xf numFmtId="0" fontId="131" fillId="0" borderId="0" xfId="0" applyFont="1" applyAlignment="1">
      <alignment horizontal="left" vertical="top"/>
    </xf>
    <xf numFmtId="0" fontId="132" fillId="4" borderId="0" xfId="0" applyFont="1" applyFill="1"/>
    <xf numFmtId="0" fontId="133" fillId="0" borderId="0" xfId="0" applyFont="1" applyAlignment="1">
      <alignment wrapText="1"/>
    </xf>
    <xf numFmtId="0" fontId="134" fillId="6" borderId="0" xfId="0" applyFont="1" applyFill="1"/>
    <xf numFmtId="0" fontId="135" fillId="0" borderId="0" xfId="0" applyFont="1"/>
    <xf numFmtId="0" fontId="2" fillId="6" borderId="4" xfId="0" applyFont="1" applyFill="1" applyBorder="1"/>
    <xf numFmtId="0" fontId="136" fillId="6" borderId="5" xfId="0" applyFont="1" applyFill="1" applyBorder="1"/>
    <xf numFmtId="0" fontId="137" fillId="0" borderId="0" xfId="0" applyFont="1" applyAlignment="1">
      <alignment horizontal="left" vertical="top"/>
    </xf>
    <xf numFmtId="0" fontId="138" fillId="6" borderId="6" xfId="0" applyFont="1" applyFill="1" applyBorder="1"/>
    <xf numFmtId="0" fontId="2" fillId="6" borderId="7" xfId="0" applyFont="1" applyFill="1" applyBorder="1"/>
    <xf numFmtId="0" fontId="139" fillId="0" borderId="0" xfId="0" applyFont="1" applyAlignment="1">
      <alignment horizontal="left"/>
    </xf>
    <xf numFmtId="0" fontId="140" fillId="7" borderId="0" xfId="0" applyFont="1" applyFill="1"/>
    <xf numFmtId="0" fontId="141" fillId="12" borderId="0" xfId="0" applyFont="1" applyFill="1"/>
    <xf numFmtId="0" fontId="142" fillId="7" borderId="0" xfId="0" applyFont="1" applyFill="1"/>
    <xf numFmtId="0" fontId="143" fillId="0" borderId="0" xfId="0" applyFont="1"/>
    <xf numFmtId="0" fontId="2" fillId="7" borderId="4" xfId="0" applyFont="1" applyFill="1" applyBorder="1"/>
    <xf numFmtId="0" fontId="144" fillId="7" borderId="5" xfId="0" applyFont="1" applyFill="1" applyBorder="1"/>
    <xf numFmtId="0" fontId="11" fillId="0" borderId="0" xfId="0" applyFont="1" applyAlignment="1">
      <alignment horizontal="left" wrapText="1"/>
    </xf>
    <xf numFmtId="0" fontId="145" fillId="4" borderId="0" xfId="0" applyFont="1" applyFill="1" applyAlignment="1">
      <alignment wrapText="1"/>
    </xf>
    <xf numFmtId="0" fontId="146" fillId="7" borderId="4" xfId="0" applyFont="1" applyFill="1" applyBorder="1"/>
    <xf numFmtId="0" fontId="147" fillId="0" borderId="0" xfId="0" applyFont="1" applyAlignment="1">
      <alignment horizontal="left" vertical="center" wrapText="1"/>
    </xf>
    <xf numFmtId="0" fontId="148" fillId="7" borderId="0" xfId="0" applyFont="1" applyFill="1"/>
    <xf numFmtId="0" fontId="2" fillId="6" borderId="0" xfId="0" applyFont="1" applyFill="1" applyAlignment="1">
      <alignment horizontal="left"/>
    </xf>
    <xf numFmtId="0" fontId="149" fillId="6" borderId="0" xfId="0" applyFont="1" applyFill="1" applyAlignment="1">
      <alignment horizontal="left"/>
    </xf>
    <xf numFmtId="0" fontId="2" fillId="6" borderId="6" xfId="0" applyFont="1" applyFill="1" applyBorder="1" applyAlignment="1">
      <alignment horizontal="left"/>
    </xf>
    <xf numFmtId="0" fontId="150" fillId="6" borderId="6" xfId="0" applyFont="1" applyFill="1" applyBorder="1" applyAlignment="1">
      <alignment horizontal="left"/>
    </xf>
    <xf numFmtId="0" fontId="2" fillId="6" borderId="4" xfId="0" applyFont="1" applyFill="1" applyBorder="1" applyAlignment="1">
      <alignment horizontal="left"/>
    </xf>
    <xf numFmtId="0" fontId="151" fillId="6" borderId="6" xfId="0" applyFont="1" applyFill="1" applyBorder="1" applyAlignment="1">
      <alignment horizontal="left"/>
    </xf>
    <xf numFmtId="0" fontId="152" fillId="6" borderId="0" xfId="0" applyFont="1" applyFill="1" applyAlignment="1">
      <alignment horizontal="left"/>
    </xf>
    <xf numFmtId="0" fontId="153" fillId="6" borderId="5" xfId="0" applyFont="1" applyFill="1" applyBorder="1"/>
    <xf numFmtId="0" fontId="154" fillId="7" borderId="6" xfId="0" applyFont="1" applyFill="1" applyBorder="1"/>
    <xf numFmtId="0" fontId="2" fillId="7" borderId="6" xfId="0" applyFont="1" applyFill="1" applyBorder="1"/>
    <xf numFmtId="0" fontId="2" fillId="7" borderId="5" xfId="0" applyFont="1" applyFill="1" applyBorder="1"/>
    <xf numFmtId="0" fontId="155" fillId="7" borderId="5" xfId="0" applyFont="1" applyFill="1" applyBorder="1"/>
    <xf numFmtId="0" fontId="156" fillId="7" borderId="0" xfId="0" applyFont="1" applyFill="1"/>
    <xf numFmtId="0" fontId="157" fillId="0" borderId="0" xfId="0" applyFont="1"/>
    <xf numFmtId="0" fontId="1" fillId="0" borderId="0" xfId="0" applyFont="1"/>
    <xf numFmtId="0" fontId="158" fillId="4" borderId="0" xfId="0" applyFont="1" applyFill="1" applyAlignment="1">
      <alignment wrapText="1"/>
    </xf>
    <xf numFmtId="0" fontId="159" fillId="0" borderId="0" xfId="0" applyFont="1" applyAlignment="1">
      <alignment wrapText="1"/>
    </xf>
    <xf numFmtId="0" fontId="160" fillId="6" borderId="0" xfId="0" applyFont="1" applyFill="1" applyAlignment="1">
      <alignment wrapText="1"/>
    </xf>
    <xf numFmtId="0" fontId="161" fillId="6" borderId="0" xfId="0" applyFont="1" applyFill="1"/>
    <xf numFmtId="0" fontId="162" fillId="7" borderId="0" xfId="0" applyFont="1" applyFill="1"/>
    <xf numFmtId="0" fontId="163" fillId="0" borderId="0" xfId="0" applyFont="1" applyAlignment="1">
      <alignment horizontal="left" wrapText="1"/>
    </xf>
    <xf numFmtId="0" fontId="164" fillId="0" borderId="0" xfId="0" applyFont="1" applyAlignment="1">
      <alignment horizontal="left" wrapText="1"/>
    </xf>
    <xf numFmtId="0" fontId="165" fillId="0" borderId="0" xfId="0" applyFont="1" applyAlignment="1">
      <alignment wrapText="1"/>
    </xf>
    <xf numFmtId="0" fontId="166" fillId="0" borderId="0" xfId="0" applyFont="1" applyAlignment="1">
      <alignment wrapText="1"/>
    </xf>
    <xf numFmtId="0" fontId="167" fillId="6" borderId="0" xfId="0" applyFont="1" applyFill="1"/>
    <xf numFmtId="0" fontId="2" fillId="7" borderId="8" xfId="0" applyFont="1" applyFill="1" applyBorder="1"/>
    <xf numFmtId="0" fontId="168" fillId="7" borderId="8" xfId="0" applyFont="1" applyFill="1" applyBorder="1"/>
    <xf numFmtId="0" fontId="169" fillId="7" borderId="6" xfId="0" applyFont="1" applyFill="1" applyBorder="1"/>
    <xf numFmtId="0" fontId="11" fillId="0" borderId="6" xfId="0" applyFont="1" applyBorder="1"/>
    <xf numFmtId="0" fontId="11" fillId="0" borderId="6" xfId="0" applyFont="1" applyBorder="1" applyAlignment="1">
      <alignment wrapText="1"/>
    </xf>
    <xf numFmtId="0" fontId="2" fillId="6" borderId="8" xfId="0" applyFont="1" applyFill="1" applyBorder="1"/>
    <xf numFmtId="0" fontId="170" fillId="0" borderId="0" xfId="0" applyFont="1" applyAlignment="1">
      <alignment wrapText="1"/>
    </xf>
    <xf numFmtId="0" fontId="2" fillId="0" borderId="8" xfId="0" applyFont="1" applyBorder="1" applyAlignment="1">
      <alignment wrapText="1"/>
    </xf>
    <xf numFmtId="0" fontId="2" fillId="6" borderId="6" xfId="0" applyFont="1" applyFill="1" applyBorder="1"/>
    <xf numFmtId="0" fontId="171" fillId="6" borderId="6" xfId="0" applyFont="1" applyFill="1" applyBorder="1"/>
    <xf numFmtId="0" fontId="2" fillId="4" borderId="0" xfId="0" applyFont="1" applyFill="1" applyAlignment="1">
      <alignment wrapText="1"/>
    </xf>
    <xf numFmtId="0" fontId="11" fillId="6" borderId="0" xfId="0" applyFont="1" applyFill="1"/>
    <xf numFmtId="0" fontId="172" fillId="6" borderId="0" xfId="0" applyFont="1" applyFill="1" applyAlignment="1">
      <alignment horizontal="left"/>
    </xf>
    <xf numFmtId="0" fontId="11" fillId="7" borderId="0" xfId="0" applyFont="1" applyFill="1"/>
    <xf numFmtId="0" fontId="173" fillId="7" borderId="0" xfId="0" applyFont="1" applyFill="1"/>
    <xf numFmtId="0" fontId="174" fillId="6" borderId="4" xfId="0" applyFont="1" applyFill="1" applyBorder="1" applyAlignment="1">
      <alignment horizontal="left" wrapText="1"/>
    </xf>
    <xf numFmtId="0" fontId="2" fillId="6" borderId="0" xfId="0" applyFont="1" applyFill="1" applyAlignment="1">
      <alignment horizontal="left" wrapText="1"/>
    </xf>
    <xf numFmtId="0" fontId="175" fillId="6" borderId="6" xfId="0" applyFont="1" applyFill="1" applyBorder="1" applyAlignment="1">
      <alignment horizontal="left" wrapText="1"/>
    </xf>
    <xf numFmtId="0" fontId="2" fillId="6" borderId="7" xfId="0" applyFont="1" applyFill="1" applyBorder="1" applyAlignment="1">
      <alignment horizontal="left" wrapText="1"/>
    </xf>
    <xf numFmtId="0" fontId="176" fillId="6" borderId="7" xfId="0" applyFont="1" applyFill="1" applyBorder="1" applyAlignment="1">
      <alignment wrapText="1"/>
    </xf>
    <xf numFmtId="0" fontId="177" fillId="7" borderId="0" xfId="0" applyFont="1" applyFill="1"/>
    <xf numFmtId="0" fontId="178" fillId="7" borderId="5" xfId="0" applyFont="1" applyFill="1" applyBorder="1"/>
    <xf numFmtId="0" fontId="179" fillId="0" borderId="0" xfId="0" applyFont="1"/>
    <xf numFmtId="0" fontId="180" fillId="0" borderId="0" xfId="0" applyFont="1" applyAlignment="1">
      <alignment wrapText="1"/>
    </xf>
    <xf numFmtId="0" fontId="181" fillId="0" borderId="0" xfId="0" applyFont="1" applyAlignment="1">
      <alignment horizontal="left" wrapText="1"/>
    </xf>
    <xf numFmtId="0" fontId="182" fillId="0" borderId="0" xfId="0" applyFont="1" applyAlignment="1">
      <alignment horizontal="left" wrapText="1"/>
    </xf>
    <xf numFmtId="0" fontId="183" fillId="0" borderId="0" xfId="0" applyFont="1" applyAlignment="1">
      <alignment horizontal="left" wrapText="1"/>
    </xf>
    <xf numFmtId="0" fontId="184" fillId="6" borderId="0" xfId="0" applyFont="1" applyFill="1" applyAlignment="1">
      <alignment horizontal="left" wrapText="1"/>
    </xf>
    <xf numFmtId="0" fontId="185" fillId="0" borderId="0" xfId="0" applyFont="1" applyAlignment="1">
      <alignment horizontal="left" vertical="center" wrapText="1"/>
    </xf>
    <xf numFmtId="0" fontId="186" fillId="6" borderId="9" xfId="0" applyFont="1" applyFill="1" applyBorder="1"/>
    <xf numFmtId="0" fontId="187" fillId="6" borderId="0" xfId="0" applyFont="1" applyFill="1"/>
    <xf numFmtId="0" fontId="188" fillId="6" borderId="7" xfId="0" applyFont="1" applyFill="1" applyBorder="1"/>
    <xf numFmtId="0" fontId="189" fillId="6" borderId="7" xfId="0" applyFont="1" applyFill="1" applyBorder="1"/>
    <xf numFmtId="0" fontId="190" fillId="7" borderId="7" xfId="0" applyFont="1" applyFill="1" applyBorder="1"/>
    <xf numFmtId="0" fontId="191" fillId="6" borderId="6" xfId="0" applyFont="1" applyFill="1" applyBorder="1"/>
    <xf numFmtId="0" fontId="192" fillId="6" borderId="6" xfId="0" applyFont="1" applyFill="1" applyBorder="1" applyAlignment="1">
      <alignment wrapText="1"/>
    </xf>
    <xf numFmtId="0" fontId="193" fillId="7" borderId="6" xfId="0" applyFont="1" applyFill="1" applyBorder="1"/>
    <xf numFmtId="0" fontId="194" fillId="7" borderId="7" xfId="0" applyFont="1" applyFill="1" applyBorder="1" applyAlignment="1">
      <alignment horizontal="left"/>
    </xf>
    <xf numFmtId="0" fontId="195" fillId="7" borderId="0" xfId="0" applyFont="1" applyFill="1"/>
    <xf numFmtId="0" fontId="196" fillId="7" borderId="0" xfId="0" applyFont="1" applyFill="1"/>
    <xf numFmtId="0" fontId="197" fillId="0" borderId="0" xfId="0" applyFont="1" applyAlignment="1">
      <alignment horizontal="left" wrapText="1"/>
    </xf>
    <xf numFmtId="0" fontId="198" fillId="7" borderId="0" xfId="0" applyFont="1" applyFill="1" applyAlignment="1">
      <alignment horizontal="left"/>
    </xf>
    <xf numFmtId="0" fontId="199" fillId="7" borderId="0" xfId="0" applyFont="1" applyFill="1" applyAlignment="1">
      <alignment horizontal="left"/>
    </xf>
    <xf numFmtId="0" fontId="200" fillId="7" borderId="7" xfId="0" applyFont="1" applyFill="1" applyBorder="1"/>
    <xf numFmtId="0" fontId="201" fillId="7" borderId="4" xfId="0" applyFont="1" applyFill="1" applyBorder="1" applyAlignment="1">
      <alignment horizontal="left"/>
    </xf>
    <xf numFmtId="0" fontId="2" fillId="7" borderId="7" xfId="0" applyFont="1" applyFill="1" applyBorder="1"/>
    <xf numFmtId="0" fontId="202" fillId="7" borderId="7" xfId="0" applyFont="1" applyFill="1" applyBorder="1"/>
    <xf numFmtId="0" fontId="203" fillId="7" borderId="6" xfId="0" applyFont="1" applyFill="1" applyBorder="1"/>
    <xf numFmtId="0" fontId="204" fillId="7" borderId="6" xfId="0" applyFont="1" applyFill="1" applyBorder="1" applyAlignment="1">
      <alignment horizontal="left"/>
    </xf>
    <xf numFmtId="0" fontId="205" fillId="7" borderId="0" xfId="0" applyFont="1" applyFill="1"/>
    <xf numFmtId="0" fontId="2" fillId="7" borderId="9" xfId="0" applyFont="1" applyFill="1" applyBorder="1"/>
    <xf numFmtId="0" fontId="2" fillId="7" borderId="0" xfId="0" applyFont="1" applyFill="1" applyAlignment="1">
      <alignment horizontal="left"/>
    </xf>
    <xf numFmtId="0" fontId="2" fillId="7" borderId="4" xfId="0" applyFont="1" applyFill="1" applyBorder="1" applyAlignment="1">
      <alignment horizontal="left"/>
    </xf>
    <xf numFmtId="0" fontId="2" fillId="7" borderId="6" xfId="0" applyFont="1" applyFill="1" applyBorder="1" applyAlignment="1">
      <alignment horizontal="left"/>
    </xf>
    <xf numFmtId="0" fontId="2" fillId="7" borderId="7" xfId="0" applyFont="1" applyFill="1" applyBorder="1" applyAlignment="1">
      <alignment horizontal="left"/>
    </xf>
    <xf numFmtId="0" fontId="206" fillId="7" borderId="6" xfId="0" applyFont="1" applyFill="1" applyBorder="1" applyAlignment="1">
      <alignment horizontal="left"/>
    </xf>
    <xf numFmtId="0" fontId="207" fillId="7" borderId="6" xfId="0" applyFont="1" applyFill="1" applyBorder="1"/>
    <xf numFmtId="0" fontId="208" fillId="7" borderId="7" xfId="0" applyFont="1" applyFill="1" applyBorder="1"/>
    <xf numFmtId="0" fontId="209" fillId="0" borderId="0" xfId="0" applyFont="1" applyAlignment="1">
      <alignment horizontal="left" wrapText="1"/>
    </xf>
    <xf numFmtId="164" fontId="1" fillId="8" borderId="0" xfId="0" applyNumberFormat="1" applyFont="1" applyFill="1" applyAlignment="1">
      <alignment horizontal="center" vertical="center"/>
    </xf>
    <xf numFmtId="164" fontId="1" fillId="8" borderId="0" xfId="0" applyNumberFormat="1" applyFont="1" applyFill="1" applyAlignment="1">
      <alignment horizontal="center" vertical="center" wrapText="1"/>
    </xf>
    <xf numFmtId="0" fontId="1" fillId="8" borderId="0" xfId="0" applyFont="1" applyFill="1" applyAlignment="1">
      <alignment horizontal="center" vertical="center" wrapText="1"/>
    </xf>
    <xf numFmtId="0" fontId="1" fillId="8" borderId="0" xfId="0" applyFont="1" applyFill="1" applyAlignment="1">
      <alignment horizontal="left" vertical="center"/>
    </xf>
    <xf numFmtId="0" fontId="1" fillId="8" borderId="0" xfId="0" applyFont="1" applyFill="1" applyAlignment="1">
      <alignment horizontal="center" vertical="center"/>
    </xf>
    <xf numFmtId="0" fontId="28" fillId="0" borderId="0" xfId="0" applyFont="1" applyAlignment="1">
      <alignment horizontal="left"/>
    </xf>
    <xf numFmtId="0" fontId="11" fillId="0" borderId="0" xfId="0" applyFont="1" applyAlignment="1">
      <alignment horizontal="left"/>
    </xf>
    <xf numFmtId="0" fontId="210" fillId="0" borderId="0" xfId="0" applyFont="1" applyAlignment="1">
      <alignment horizontal="left"/>
    </xf>
    <xf numFmtId="0" fontId="211" fillId="0" borderId="0" xfId="0" applyFont="1" applyAlignment="1">
      <alignment horizontal="left" vertical="center"/>
    </xf>
    <xf numFmtId="0" fontId="212" fillId="0" borderId="0" xfId="0" applyFont="1" applyAlignment="1">
      <alignment horizontal="left"/>
    </xf>
    <xf numFmtId="0" fontId="213" fillId="0" borderId="0" xfId="0" applyFont="1" applyAlignment="1">
      <alignment horizontal="left"/>
    </xf>
    <xf numFmtId="0" fontId="214" fillId="0" borderId="0" xfId="0" applyFont="1" applyAlignment="1">
      <alignment horizontal="left"/>
    </xf>
    <xf numFmtId="0" fontId="215" fillId="0" borderId="0" xfId="0" applyFont="1" applyAlignment="1">
      <alignment horizontal="left"/>
    </xf>
    <xf numFmtId="0" fontId="216" fillId="0" borderId="0" xfId="0" applyFont="1" applyAlignment="1">
      <alignment horizontal="left" vertical="center"/>
    </xf>
    <xf numFmtId="0" fontId="217" fillId="0" borderId="0" xfId="0" applyFont="1" applyAlignment="1">
      <alignment horizontal="left"/>
    </xf>
    <xf numFmtId="0" fontId="218" fillId="0" borderId="0" xfId="0" applyFont="1" applyAlignment="1">
      <alignment horizontal="left"/>
    </xf>
    <xf numFmtId="0" fontId="219" fillId="0" borderId="0" xfId="0" applyFont="1" applyAlignment="1">
      <alignment horizontal="left"/>
    </xf>
    <xf numFmtId="0" fontId="220" fillId="0" borderId="0" xfId="0" applyFont="1" applyAlignment="1">
      <alignment horizontal="left"/>
    </xf>
    <xf numFmtId="0" fontId="221" fillId="0" borderId="0" xfId="0" applyFont="1" applyAlignment="1">
      <alignment horizontal="left"/>
    </xf>
    <xf numFmtId="0" fontId="222" fillId="0" borderId="0" xfId="0" applyFont="1" applyAlignment="1">
      <alignment horizontal="left"/>
    </xf>
    <xf numFmtId="0" fontId="223" fillId="0" borderId="0" xfId="0" applyFont="1" applyAlignment="1">
      <alignment horizontal="left" wrapText="1"/>
    </xf>
    <xf numFmtId="0" fontId="224" fillId="0" borderId="0" xfId="0" applyFont="1" applyAlignment="1">
      <alignment horizontal="left"/>
    </xf>
    <xf numFmtId="0" fontId="11" fillId="0" borderId="0" xfId="0" applyFont="1" applyAlignment="1">
      <alignment horizontal="center" wrapText="1"/>
    </xf>
    <xf numFmtId="0" fontId="225" fillId="0" borderId="0" xfId="0" applyFont="1" applyAlignment="1">
      <alignment horizontal="left"/>
    </xf>
    <xf numFmtId="0" fontId="29" fillId="0" borderId="0" xfId="0" applyFont="1" applyAlignment="1">
      <alignment horizontal="left" wrapText="1"/>
    </xf>
    <xf numFmtId="0" fontId="226" fillId="12" borderId="0" xfId="0" applyFont="1" applyFill="1" applyAlignment="1">
      <alignment horizontal="left"/>
    </xf>
    <xf numFmtId="0" fontId="227" fillId="0" borderId="0" xfId="0" applyFont="1" applyAlignment="1">
      <alignment horizontal="left" wrapText="1"/>
    </xf>
    <xf numFmtId="0" fontId="228" fillId="0" borderId="0" xfId="0" applyFont="1" applyAlignment="1">
      <alignment horizontal="left"/>
    </xf>
    <xf numFmtId="0" fontId="229" fillId="0" borderId="0" xfId="0" applyFont="1" applyAlignment="1">
      <alignment horizontal="left"/>
    </xf>
    <xf numFmtId="0" fontId="230" fillId="0" borderId="0" xfId="0" applyFont="1" applyAlignment="1">
      <alignment horizontal="left"/>
    </xf>
    <xf numFmtId="0" fontId="231" fillId="0" borderId="0" xfId="0" applyFont="1" applyAlignment="1">
      <alignment horizontal="center" wrapText="1"/>
    </xf>
    <xf numFmtId="0" fontId="232" fillId="0" borderId="0" xfId="0" applyFont="1" applyAlignment="1">
      <alignment horizontal="left"/>
    </xf>
    <xf numFmtId="0" fontId="26" fillId="2" borderId="0" xfId="0" applyFont="1" applyFill="1" applyAlignment="1">
      <alignment horizontal="left" wrapText="1"/>
    </xf>
    <xf numFmtId="0" fontId="233" fillId="0" borderId="0" xfId="0" applyFont="1" applyAlignment="1">
      <alignment horizontal="left" wrapText="1"/>
    </xf>
    <xf numFmtId="0" fontId="1" fillId="0" borderId="0" xfId="0" applyFont="1" applyAlignment="1">
      <alignment horizontal="left"/>
    </xf>
    <xf numFmtId="0" fontId="2" fillId="12" borderId="0" xfId="0" applyFont="1" applyFill="1" applyAlignment="1">
      <alignment horizontal="center" wrapText="1"/>
    </xf>
    <xf numFmtId="0" fontId="2" fillId="12" borderId="0" xfId="0" applyFont="1" applyFill="1" applyAlignment="1">
      <alignment horizontal="center" vertical="center" wrapText="1"/>
    </xf>
    <xf numFmtId="0" fontId="11" fillId="12" borderId="0" xfId="0" applyFont="1" applyFill="1" applyAlignment="1">
      <alignment horizontal="center" vertical="center" wrapText="1"/>
    </xf>
    <xf numFmtId="0" fontId="11" fillId="12" borderId="0" xfId="0" applyFont="1" applyFill="1" applyAlignment="1">
      <alignment horizontal="left" vertical="center"/>
    </xf>
    <xf numFmtId="0" fontId="234" fillId="12" borderId="0" xfId="0" applyFont="1" applyFill="1" applyAlignment="1">
      <alignment horizontal="left" wrapText="1"/>
    </xf>
    <xf numFmtId="0" fontId="11" fillId="12" borderId="0" xfId="0" applyFont="1" applyFill="1" applyAlignment="1">
      <alignment horizontal="left"/>
    </xf>
    <xf numFmtId="0" fontId="11" fillId="12" borderId="0" xfId="0" applyFont="1" applyFill="1" applyAlignment="1">
      <alignment horizontal="left" wrapText="1"/>
    </xf>
    <xf numFmtId="0" fontId="11" fillId="12" borderId="0" xfId="0" applyFont="1" applyFill="1" applyAlignment="1">
      <alignment wrapText="1"/>
    </xf>
    <xf numFmtId="0" fontId="2" fillId="14" borderId="0" xfId="0" applyFont="1" applyFill="1" applyAlignment="1">
      <alignment horizontal="left" wrapText="1"/>
    </xf>
    <xf numFmtId="0" fontId="1" fillId="0" borderId="0" xfId="0" applyFont="1" applyAlignment="1">
      <alignment vertical="top" wrapText="1"/>
    </xf>
    <xf numFmtId="0" fontId="2" fillId="14" borderId="0" xfId="0" applyFont="1" applyFill="1" applyAlignment="1">
      <alignment horizontal="left" vertical="center" wrapText="1"/>
    </xf>
    <xf numFmtId="0" fontId="235" fillId="0" borderId="0" xfId="0" applyFont="1" applyAlignment="1">
      <alignment horizontal="left" wrapText="1"/>
    </xf>
    <xf numFmtId="0" fontId="236" fillId="0" borderId="0" xfId="0" applyFont="1" applyAlignment="1">
      <alignment horizontal="left"/>
    </xf>
    <xf numFmtId="0" fontId="237" fillId="0" borderId="0" xfId="0" applyFont="1" applyAlignment="1">
      <alignment horizontal="left"/>
    </xf>
    <xf numFmtId="0" fontId="238" fillId="0" borderId="0" xfId="0" applyFont="1" applyAlignment="1">
      <alignment horizontal="left" wrapText="1"/>
    </xf>
    <xf numFmtId="0" fontId="1" fillId="0" borderId="0" xfId="0" applyFont="1" applyAlignment="1">
      <alignment wrapText="1"/>
    </xf>
    <xf numFmtId="0" fontId="239" fillId="0" borderId="0" xfId="0" applyFont="1" applyAlignment="1">
      <alignment horizontal="left" vertical="top"/>
    </xf>
    <xf numFmtId="0" fontId="240" fillId="2" borderId="0" xfId="0" applyFont="1" applyFill="1" applyAlignment="1">
      <alignment horizontal="left" wrapText="1"/>
    </xf>
    <xf numFmtId="0" fontId="242" fillId="0" borderId="0" xfId="0" applyFont="1" applyAlignment="1">
      <alignment vertical="top"/>
    </xf>
    <xf numFmtId="0" fontId="16" fillId="0" borderId="0" xfId="0" applyFont="1" applyAlignment="1">
      <alignment horizontal="left"/>
    </xf>
    <xf numFmtId="0" fontId="11" fillId="14" borderId="0" xfId="0" applyFont="1" applyFill="1" applyAlignment="1">
      <alignment horizontal="left" vertical="center" wrapText="1"/>
    </xf>
    <xf numFmtId="0" fontId="245" fillId="0" borderId="0" xfId="0" applyFont="1" applyAlignment="1">
      <alignment horizontal="left" wrapText="1"/>
    </xf>
    <xf numFmtId="0" fontId="249" fillId="0" borderId="0" xfId="0" applyFont="1" applyAlignment="1">
      <alignment horizontal="center" wrapText="1"/>
    </xf>
    <xf numFmtId="0" fontId="250" fillId="0" borderId="0" xfId="0" applyFont="1" applyAlignment="1">
      <alignment wrapText="1"/>
    </xf>
    <xf numFmtId="0" fontId="251" fillId="0" borderId="0" xfId="0" applyFont="1" applyAlignment="1">
      <alignment wrapText="1"/>
    </xf>
    <xf numFmtId="0" fontId="11" fillId="4" borderId="0" xfId="0" applyFont="1" applyFill="1" applyAlignment="1">
      <alignment wrapText="1"/>
    </xf>
    <xf numFmtId="0" fontId="261" fillId="0" borderId="0" xfId="0" applyFont="1" applyAlignment="1">
      <alignment vertical="center"/>
    </xf>
    <xf numFmtId="0" fontId="261" fillId="0" borderId="0" xfId="0" applyFont="1" applyAlignment="1">
      <alignment vertical="center" wrapText="1"/>
    </xf>
    <xf numFmtId="0" fontId="261" fillId="0" borderId="0" xfId="0" applyFont="1" applyAlignment="1">
      <alignment horizontal="center" vertical="center" wrapText="1"/>
    </xf>
    <xf numFmtId="0" fontId="261" fillId="0" borderId="0" xfId="0" applyFont="1"/>
    <xf numFmtId="0" fontId="262" fillId="0" borderId="0" xfId="0" applyFont="1" applyAlignment="1">
      <alignment horizontal="left" vertical="center"/>
    </xf>
    <xf numFmtId="0" fontId="263" fillId="0" borderId="0" xfId="0" applyFont="1" applyAlignment="1">
      <alignment horizontal="left" vertical="center" wrapText="1"/>
    </xf>
    <xf numFmtId="0" fontId="263" fillId="0" borderId="0" xfId="0" applyFont="1" applyAlignment="1">
      <alignment horizontal="center" vertical="center" wrapText="1"/>
    </xf>
    <xf numFmtId="0" fontId="263" fillId="0" borderId="0" xfId="0" applyFont="1" applyAlignment="1">
      <alignment vertical="center"/>
    </xf>
    <xf numFmtId="0" fontId="263" fillId="0" borderId="0" xfId="0" applyFont="1"/>
    <xf numFmtId="0" fontId="261" fillId="0" borderId="0" xfId="0" applyFont="1" applyAlignment="1">
      <alignment horizontal="left" vertical="center" wrapText="1"/>
    </xf>
    <xf numFmtId="0" fontId="264" fillId="0" borderId="0" xfId="0" applyFont="1" applyAlignment="1">
      <alignment vertical="center" wrapText="1"/>
    </xf>
    <xf numFmtId="0" fontId="261" fillId="0" borderId="0" xfId="0" applyFont="1" applyAlignment="1">
      <alignment horizontal="left" vertical="center"/>
    </xf>
    <xf numFmtId="0" fontId="263" fillId="0" borderId="0" xfId="0" applyFont="1" applyAlignment="1">
      <alignment horizontal="left" vertical="center"/>
    </xf>
    <xf numFmtId="0" fontId="265" fillId="0" borderId="0" xfId="0" applyFont="1" applyAlignment="1">
      <alignment wrapText="1"/>
    </xf>
    <xf numFmtId="0" fontId="261" fillId="0" borderId="0" xfId="0" applyFont="1" applyAlignment="1">
      <alignment wrapText="1"/>
    </xf>
    <xf numFmtId="0" fontId="265" fillId="0" borderId="0" xfId="0" applyFont="1"/>
    <xf numFmtId="0" fontId="261" fillId="0" borderId="0" xfId="0" applyFont="1" applyAlignment="1">
      <alignment horizontal="left"/>
    </xf>
    <xf numFmtId="0" fontId="265" fillId="0" borderId="0" xfId="0" applyFont="1" applyAlignment="1">
      <alignment horizontal="left" wrapText="1"/>
    </xf>
    <xf numFmtId="20" fontId="261" fillId="0" borderId="0" xfId="0" applyNumberFormat="1" applyFont="1" applyAlignment="1">
      <alignment horizontal="center" vertical="center" wrapText="1"/>
    </xf>
    <xf numFmtId="0" fontId="261" fillId="0" borderId="0" xfId="1" applyFont="1"/>
    <xf numFmtId="0" fontId="268" fillId="8" borderId="0" xfId="0" applyFont="1" applyFill="1" applyAlignment="1">
      <alignment wrapText="1"/>
    </xf>
    <xf numFmtId="0" fontId="269" fillId="0" borderId="0" xfId="0" applyFont="1" applyAlignment="1">
      <alignment wrapText="1"/>
    </xf>
    <xf numFmtId="0" fontId="268" fillId="0" borderId="0" xfId="0" applyFont="1" applyAlignment="1">
      <alignment wrapText="1"/>
    </xf>
    <xf numFmtId="0" fontId="2" fillId="0" borderId="0" xfId="0" applyFont="1" applyAlignment="1">
      <alignment wrapText="1"/>
    </xf>
    <xf numFmtId="0" fontId="0" fillId="0" borderId="0" xfId="0" applyAlignment="1">
      <alignment wrapText="1"/>
    </xf>
    <xf numFmtId="0" fontId="23" fillId="2" borderId="0" xfId="0" applyFont="1" applyFill="1" applyAlignment="1">
      <alignment wrapText="1"/>
    </xf>
    <xf numFmtId="0" fontId="2" fillId="2" borderId="0" xfId="0" applyFont="1" applyFill="1" applyAlignment="1">
      <alignment wrapText="1"/>
    </xf>
    <xf numFmtId="0" fontId="2" fillId="2" borderId="1" xfId="0" applyFont="1" applyFill="1" applyBorder="1" applyAlignment="1">
      <alignment wrapText="1"/>
    </xf>
    <xf numFmtId="0" fontId="11" fillId="0" borderId="2" xfId="0" applyFont="1" applyBorder="1" applyAlignment="1">
      <alignment wrapText="1"/>
    </xf>
    <xf numFmtId="0" fontId="11" fillId="0" borderId="3" xfId="0" applyFont="1" applyBorder="1" applyAlignment="1">
      <alignment wrapText="1"/>
    </xf>
    <xf numFmtId="0" fontId="2" fillId="0" borderId="0" xfId="0" applyFont="1" applyAlignment="1">
      <alignment horizontal="left" wrapText="1"/>
    </xf>
    <xf numFmtId="0" fontId="26" fillId="2" borderId="0" xfId="0" applyFont="1" applyFill="1" applyAlignment="1">
      <alignment wrapText="1"/>
    </xf>
    <xf numFmtId="0" fontId="1" fillId="2" borderId="0" xfId="0" applyFont="1" applyFill="1" applyAlignment="1">
      <alignment horizontal="left" vertical="center" wrapText="1"/>
    </xf>
    <xf numFmtId="0" fontId="24" fillId="2" borderId="0" xfId="0" applyFont="1" applyFill="1"/>
    <xf numFmtId="0" fontId="25" fillId="2" borderId="0" xfId="0" applyFont="1" applyFill="1"/>
    <xf numFmtId="0" fontId="14" fillId="0" borderId="0" xfId="0" applyFont="1" applyAlignment="1">
      <alignment wrapText="1"/>
    </xf>
    <xf numFmtId="0" fontId="12" fillId="4" borderId="0" xfId="0" applyFont="1" applyFill="1" applyAlignment="1">
      <alignment horizontal="left" vertical="center" wrapText="1"/>
    </xf>
    <xf numFmtId="0" fontId="13" fillId="5" borderId="0" xfId="0" applyFont="1" applyFill="1" applyAlignment="1">
      <alignment wrapText="1"/>
    </xf>
    <xf numFmtId="0" fontId="9" fillId="2" borderId="0" xfId="0" applyFont="1" applyFill="1" applyAlignment="1">
      <alignment vertical="center" wrapText="1"/>
    </xf>
    <xf numFmtId="0" fontId="11" fillId="0" borderId="0" xfId="0" applyFont="1" applyAlignment="1">
      <alignment wrapText="1"/>
    </xf>
    <xf numFmtId="0" fontId="2" fillId="2" borderId="0" xfId="0" applyFont="1" applyFill="1"/>
    <xf numFmtId="0" fontId="2" fillId="2" borderId="0" xfId="0" applyFont="1" applyFill="1" applyAlignment="1">
      <alignment horizontal="center" wrapText="1"/>
    </xf>
    <xf numFmtId="0" fontId="5" fillId="3" borderId="0" xfId="0" applyFont="1" applyFill="1" applyAlignment="1">
      <alignment wrapText="1"/>
    </xf>
    <xf numFmtId="0" fontId="6" fillId="2" borderId="0" xfId="0" applyFont="1" applyFill="1" applyAlignment="1">
      <alignment wrapText="1"/>
    </xf>
    <xf numFmtId="0" fontId="4" fillId="2" borderId="0" xfId="0" applyFont="1" applyFill="1" applyAlignment="1">
      <alignment horizontal="left" vertical="center" wrapText="1"/>
    </xf>
    <xf numFmtId="0" fontId="7" fillId="2" borderId="0" xfId="0" applyFont="1" applyFill="1" applyAlignment="1">
      <alignment horizontal="left" vertical="center" wrapText="1"/>
    </xf>
    <xf numFmtId="0" fontId="2" fillId="2" borderId="0" xfId="0" applyFont="1" applyFill="1" applyAlignment="1">
      <alignment horizontal="left" vertical="center" wrapText="1"/>
    </xf>
    <xf numFmtId="0" fontId="1" fillId="2" borderId="0" xfId="0" applyFont="1" applyFill="1" applyAlignment="1">
      <alignment wrapText="1"/>
    </xf>
    <xf numFmtId="0" fontId="2" fillId="8" borderId="0" xfId="0" applyFont="1" applyFill="1" applyAlignment="1">
      <alignment horizontal="center" vertical="center" wrapText="1"/>
    </xf>
    <xf numFmtId="0" fontId="2" fillId="8" borderId="0" xfId="0" applyFont="1" applyFill="1" applyAlignment="1">
      <alignment horizontal="left" vertical="center" wrapText="1"/>
    </xf>
    <xf numFmtId="0" fontId="2" fillId="8" borderId="0" xfId="0" applyFont="1" applyFill="1" applyAlignment="1">
      <alignment horizontal="center" wrapText="1"/>
    </xf>
    <xf numFmtId="0" fontId="78" fillId="0" borderId="0" xfId="0" applyFont="1" applyAlignment="1">
      <alignment horizontal="left" vertical="top"/>
    </xf>
    <xf numFmtId="0" fontId="241" fillId="0" borderId="0" xfId="0" applyFont="1" applyAlignment="1">
      <alignment horizontal="left"/>
    </xf>
    <xf numFmtId="0" fontId="79" fillId="0" borderId="0" xfId="0" applyFont="1" applyAlignment="1">
      <alignment horizontal="left" vertical="top"/>
    </xf>
    <xf numFmtId="0" fontId="147" fillId="0" borderId="0" xfId="0" applyFont="1" applyAlignment="1">
      <alignment horizontal="left" vertical="center" wrapText="1"/>
    </xf>
    <xf numFmtId="0" fontId="235" fillId="0" borderId="0" xfId="0" applyFont="1" applyAlignment="1">
      <alignment horizontal="left" wrapText="1"/>
    </xf>
    <xf numFmtId="0" fontId="246" fillId="0" borderId="0" xfId="0" applyFont="1" applyAlignment="1">
      <alignment wrapText="1"/>
    </xf>
    <xf numFmtId="0" fontId="247" fillId="0" borderId="0" xfId="0" applyFont="1" applyAlignment="1">
      <alignment wrapText="1"/>
    </xf>
    <xf numFmtId="0" fontId="248" fillId="0" borderId="0" xfId="0" applyFont="1" applyAlignment="1">
      <alignment wrapText="1"/>
    </xf>
    <xf numFmtId="0" fontId="245" fillId="0" borderId="0" xfId="0" applyFont="1" applyAlignment="1">
      <alignment horizontal="left" wrapText="1"/>
    </xf>
    <xf numFmtId="0" fontId="75" fillId="0" borderId="0" xfId="0" applyFont="1" applyAlignment="1">
      <alignment horizontal="left" vertical="top"/>
    </xf>
    <xf numFmtId="0" fontId="244" fillId="0" borderId="0" xfId="0" applyFont="1" applyAlignment="1">
      <alignment horizontal="left"/>
    </xf>
    <xf numFmtId="0" fontId="243" fillId="0" borderId="0" xfId="0" applyFont="1" applyAlignment="1">
      <alignment vertical="top"/>
    </xf>
    <xf numFmtId="0" fontId="2" fillId="0" borderId="0" xfId="0" applyFont="1" applyAlignment="1">
      <alignment vertical="top" wrapText="1"/>
    </xf>
    <xf numFmtId="0" fontId="49" fillId="0" borderId="0" xfId="0" applyFont="1"/>
    <xf numFmtId="0" fontId="30" fillId="0" borderId="0" xfId="0" applyFont="1" applyAlignment="1">
      <alignment horizontal="left" vertical="center"/>
    </xf>
    <xf numFmtId="0" fontId="31" fillId="0" borderId="0" xfId="0" applyFont="1" applyAlignment="1">
      <alignment horizontal="left" vertical="center"/>
    </xf>
    <xf numFmtId="0" fontId="63" fillId="0" borderId="0" xfId="0" applyFont="1"/>
    <xf numFmtId="0" fontId="236" fillId="0" borderId="0" xfId="0" applyFont="1" applyAlignment="1">
      <alignment horizontal="left"/>
    </xf>
    <xf numFmtId="0" fontId="237" fillId="0" borderId="0" xfId="0" applyFont="1" applyAlignment="1">
      <alignment horizontal="left"/>
    </xf>
    <xf numFmtId="0" fontId="1" fillId="4" borderId="0" xfId="0" applyFont="1" applyFill="1" applyAlignment="1">
      <alignment horizontal="left" wrapText="1"/>
    </xf>
    <xf numFmtId="0" fontId="1" fillId="14" borderId="0" xfId="0" applyFont="1" applyFill="1" applyAlignment="1">
      <alignment wrapText="1"/>
    </xf>
    <xf numFmtId="0" fontId="91" fillId="0" borderId="0" xfId="0" applyFont="1" applyAlignment="1">
      <alignment horizontal="left" vertical="top"/>
    </xf>
    <xf numFmtId="22" fontId="261" fillId="0" borderId="0" xfId="0" applyNumberFormat="1" applyFont="1" applyAlignment="1">
      <alignment horizontal="center" vertical="center" wrapText="1"/>
    </xf>
    <xf numFmtId="21" fontId="2" fillId="0" borderId="0" xfId="0" applyNumberFormat="1" applyFont="1" applyAlignment="1">
      <alignment wrapText="1"/>
    </xf>
    <xf numFmtId="20" fontId="2" fillId="0" borderId="0" xfId="0" applyNumberFormat="1" applyFont="1" applyAlignment="1">
      <alignment wrapText="1"/>
    </xf>
    <xf numFmtId="20" fontId="2" fillId="0" borderId="0" xfId="0" applyNumberFormat="1" applyFont="1" applyAlignment="1">
      <alignment horizontal="center" vertical="center" wrapText="1"/>
    </xf>
    <xf numFmtId="46" fontId="2" fillId="0" borderId="0" xfId="0" applyNumberFormat="1" applyFont="1" applyAlignment="1">
      <alignment horizontal="center" vertical="center" wrapText="1"/>
    </xf>
    <xf numFmtId="0" fontId="270" fillId="0" borderId="0" xfId="1" applyFont="1"/>
  </cellXfs>
  <cellStyles count="2">
    <cellStyle name="Hyperlink" xfId="1" builtinId="8"/>
    <cellStyle name="Normal" xfId="0" builtinId="0"/>
  </cellStyles>
  <dxfs count="80">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EA9999"/>
          <bgColor rgb="FFEA9999"/>
        </patternFill>
      </fill>
    </dxf>
    <dxf>
      <fill>
        <patternFill patternType="solid">
          <fgColor rgb="FF6D9EEB"/>
          <bgColor rgb="FF6D9EEB"/>
        </patternFill>
      </fill>
    </dxf>
    <dxf>
      <fill>
        <patternFill patternType="solid">
          <fgColor rgb="FFC9DAF8"/>
          <bgColor rgb="FFC9DAF8"/>
        </patternFill>
      </fill>
    </dxf>
    <dxf>
      <fill>
        <patternFill patternType="solid">
          <fgColor rgb="FF6AA84F"/>
          <bgColor rgb="FF6AA84F"/>
        </patternFill>
      </fill>
    </dxf>
    <dxf>
      <fill>
        <patternFill patternType="solid">
          <fgColor rgb="FFFFFF00"/>
          <bgColor rgb="FFFFFF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EA9999"/>
          <bgColor rgb="FFEA9999"/>
        </patternFill>
      </fill>
    </dxf>
    <dxf>
      <fill>
        <patternFill patternType="solid">
          <fgColor rgb="FF6D9EEB"/>
          <bgColor rgb="FF6D9EEB"/>
        </patternFill>
      </fill>
    </dxf>
    <dxf>
      <fill>
        <patternFill patternType="solid">
          <fgColor rgb="FFC9DAF8"/>
          <bgColor rgb="FFC9DAF8"/>
        </patternFill>
      </fill>
    </dxf>
    <dxf>
      <fill>
        <patternFill patternType="solid">
          <fgColor rgb="FF6AA84F"/>
          <bgColor rgb="FF6AA84F"/>
        </patternFill>
      </fill>
    </dxf>
    <dxf>
      <fill>
        <patternFill patternType="solid">
          <fgColor rgb="FFFFFF00"/>
          <bgColor rgb="FFFFFF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EA9999"/>
          <bgColor rgb="FFEA9999"/>
        </patternFill>
      </fill>
    </dxf>
    <dxf>
      <fill>
        <patternFill patternType="solid">
          <fgColor rgb="FF6D9EEB"/>
          <bgColor rgb="FF6D9EEB"/>
        </patternFill>
      </fill>
    </dxf>
    <dxf>
      <fill>
        <patternFill patternType="solid">
          <fgColor rgb="FFC9DAF8"/>
          <bgColor rgb="FFC9DAF8"/>
        </patternFill>
      </fill>
    </dxf>
    <dxf>
      <fill>
        <patternFill patternType="solid">
          <fgColor rgb="FF6AA84F"/>
          <bgColor rgb="FF6AA84F"/>
        </patternFill>
      </fill>
    </dxf>
    <dxf>
      <fill>
        <patternFill patternType="solid">
          <fgColor rgb="FFFFFF00"/>
          <bgColor rgb="FFFFFF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6AA84F"/>
          <bgColor rgb="FF6AA84F"/>
        </patternFill>
      </fill>
    </dxf>
    <dxf>
      <fill>
        <patternFill patternType="solid">
          <fgColor rgb="FFC9DAF8"/>
          <bgColor rgb="FFC9DAF8"/>
        </patternFill>
      </fill>
    </dxf>
    <dxf>
      <fill>
        <patternFill patternType="solid">
          <fgColor rgb="FF6D9EEB"/>
          <bgColor rgb="FF6D9EEB"/>
        </patternFill>
      </fill>
    </dxf>
    <dxf>
      <fill>
        <patternFill patternType="solid">
          <fgColor rgb="FFEA9999"/>
          <bgColor rgb="FFEA9999"/>
        </patternFill>
      </fill>
    </dxf>
    <dxf>
      <fill>
        <patternFill patternType="solid">
          <fgColor rgb="FF6AA84F"/>
          <bgColor rgb="FF6AA84F"/>
        </patternFill>
      </fill>
    </dxf>
    <dxf>
      <fill>
        <patternFill patternType="solid">
          <fgColor rgb="FFC9DAF8"/>
          <bgColor rgb="FFC9DAF8"/>
        </patternFill>
      </fill>
    </dxf>
    <dxf>
      <fill>
        <patternFill patternType="solid">
          <fgColor rgb="FF6D9EEB"/>
          <bgColor rgb="FF6D9EEB"/>
        </patternFill>
      </fill>
    </dxf>
    <dxf>
      <fill>
        <patternFill patternType="solid">
          <fgColor rgb="FFEA9999"/>
          <bgColor rgb="FFEA9999"/>
        </patternFill>
      </fill>
    </dxf>
    <dxf>
      <fill>
        <patternFill patternType="solid">
          <fgColor rgb="FFFFFF00"/>
          <bgColor rgb="FFFFFF00"/>
        </patternFill>
      </fill>
    </dxf>
    <dxf>
      <fill>
        <patternFill patternType="solid">
          <fgColor rgb="FFEA9999"/>
          <bgColor rgb="FFEA9999"/>
        </patternFill>
      </fill>
    </dxf>
    <dxf>
      <fill>
        <patternFill patternType="solid">
          <fgColor rgb="FF6D9EEB"/>
          <bgColor rgb="FF6D9EEB"/>
        </patternFill>
      </fill>
    </dxf>
    <dxf>
      <fill>
        <patternFill patternType="solid">
          <fgColor rgb="FFC9DAF8"/>
          <bgColor rgb="FFC9DAF8"/>
        </patternFill>
      </fill>
    </dxf>
    <dxf>
      <fill>
        <patternFill patternType="solid">
          <fgColor rgb="FFFFFF00"/>
          <bgColor rgb="FFFFFF00"/>
        </patternFill>
      </fill>
    </dxf>
    <dxf>
      <fill>
        <patternFill patternType="solid">
          <fgColor rgb="FF6AA84F"/>
          <bgColor rgb="FF6AA84F"/>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EA9999"/>
          <bgColor rgb="FFEA9999"/>
        </patternFill>
      </fill>
    </dxf>
    <dxf>
      <fill>
        <patternFill patternType="solid">
          <fgColor rgb="FF6D9EEB"/>
          <bgColor rgb="FF6D9EEB"/>
        </patternFill>
      </fill>
    </dxf>
    <dxf>
      <fill>
        <patternFill patternType="solid">
          <fgColor rgb="FFC9DAF8"/>
          <bgColor rgb="FFC9DAF8"/>
        </patternFill>
      </fill>
    </dxf>
    <dxf>
      <fill>
        <patternFill patternType="solid">
          <fgColor rgb="FF6AA84F"/>
          <bgColor rgb="FF6AA84F"/>
        </patternFill>
      </fill>
    </dxf>
    <dxf>
      <fill>
        <patternFill patternType="solid">
          <fgColor rgb="FFFFFF00"/>
          <bgColor rgb="FFFFFF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EA9999"/>
          <bgColor rgb="FFEA9999"/>
        </patternFill>
      </fill>
    </dxf>
    <dxf>
      <fill>
        <patternFill patternType="solid">
          <fgColor rgb="FF6D9EEB"/>
          <bgColor rgb="FF6D9EEB"/>
        </patternFill>
      </fill>
    </dxf>
    <dxf>
      <fill>
        <patternFill patternType="solid">
          <fgColor rgb="FFC9DAF8"/>
          <bgColor rgb="FFC9DAF8"/>
        </patternFill>
      </fill>
    </dxf>
    <dxf>
      <fill>
        <patternFill patternType="solid">
          <fgColor rgb="FF6AA84F"/>
          <bgColor rgb="FF6AA84F"/>
        </patternFill>
      </fill>
    </dxf>
    <dxf>
      <fill>
        <patternFill patternType="solid">
          <fgColor rgb="FFFFFF00"/>
          <bgColor rgb="FFFFFF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EA9999"/>
          <bgColor rgb="FFEA9999"/>
        </patternFill>
      </fill>
    </dxf>
    <dxf>
      <fill>
        <patternFill patternType="solid">
          <fgColor rgb="FF6D9EEB"/>
          <bgColor rgb="FF6D9EEB"/>
        </patternFill>
      </fill>
    </dxf>
    <dxf>
      <fill>
        <patternFill patternType="solid">
          <fgColor rgb="FFC9DAF8"/>
          <bgColor rgb="FFC9DAF8"/>
        </patternFill>
      </fill>
    </dxf>
    <dxf>
      <fill>
        <patternFill patternType="solid">
          <fgColor rgb="FF6AA84F"/>
          <bgColor rgb="FF6AA84F"/>
        </patternFill>
      </fill>
    </dxf>
    <dxf>
      <fill>
        <patternFill patternType="solid">
          <fgColor rgb="FFEA9999"/>
          <bgColor rgb="FFEA9999"/>
        </patternFill>
      </fill>
    </dxf>
    <dxf>
      <fill>
        <patternFill patternType="solid">
          <fgColor rgb="FF6D9EEB"/>
          <bgColor rgb="FF6D9EEB"/>
        </patternFill>
      </fill>
    </dxf>
    <dxf>
      <fill>
        <patternFill patternType="solid">
          <fgColor rgb="FFC9DAF8"/>
          <bgColor rgb="FFC9DAF8"/>
        </patternFill>
      </fill>
    </dxf>
    <dxf>
      <fill>
        <patternFill patternType="solid">
          <fgColor rgb="FF6AA84F"/>
          <bgColor rgb="FF6AA84F"/>
        </patternFill>
      </fill>
    </dxf>
    <dxf>
      <fill>
        <patternFill patternType="solid">
          <fgColor rgb="FFFFFF00"/>
          <bgColor rgb="FFFFFF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EA9999"/>
          <bgColor rgb="FFEA9999"/>
        </patternFill>
      </fill>
    </dxf>
    <dxf>
      <fill>
        <patternFill patternType="solid">
          <fgColor rgb="FF6D9EEB"/>
          <bgColor rgb="FF6D9EEB"/>
        </patternFill>
      </fill>
    </dxf>
    <dxf>
      <fill>
        <patternFill patternType="solid">
          <fgColor rgb="FFC9DAF8"/>
          <bgColor rgb="FFC9DAF8"/>
        </patternFill>
      </fill>
    </dxf>
    <dxf>
      <fill>
        <patternFill patternType="solid">
          <fgColor rgb="FF6AA84F"/>
          <bgColor rgb="FF6AA84F"/>
        </patternFill>
      </fill>
    </dxf>
    <dxf>
      <fill>
        <patternFill patternType="solid">
          <fgColor rgb="FFFFFF00"/>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bit.ly/36XvLlN" TargetMode="External"/><Relationship Id="rId13" Type="http://schemas.openxmlformats.org/officeDocument/2006/relationships/hyperlink" Target="https://discord.gg/BPXwwcBVZJ" TargetMode="External"/><Relationship Id="rId3" Type="http://schemas.openxmlformats.org/officeDocument/2006/relationships/hyperlink" Target="https://www.youtube.com/watch?v=c3lmvYBxgwE" TargetMode="External"/><Relationship Id="rId7" Type="http://schemas.openxmlformats.org/officeDocument/2006/relationships/hyperlink" Target="https://bit.ly/3lJ2SiL" TargetMode="External"/><Relationship Id="rId12" Type="http://schemas.openxmlformats.org/officeDocument/2006/relationships/hyperlink" Target="http://bit.ly/3o9vkw9" TargetMode="External"/><Relationship Id="rId2" Type="http://schemas.openxmlformats.org/officeDocument/2006/relationships/hyperlink" Target="https://www.youtube.com/watch?v=4yt_PV3tflA" TargetMode="External"/><Relationship Id="rId1" Type="http://schemas.openxmlformats.org/officeDocument/2006/relationships/hyperlink" Target="https://sites.google.com/site/mostafasibrahim/" TargetMode="External"/><Relationship Id="rId6" Type="http://schemas.openxmlformats.org/officeDocument/2006/relationships/hyperlink" Target="https://goo.gl/CEwCjS" TargetMode="External"/><Relationship Id="rId11" Type="http://schemas.openxmlformats.org/officeDocument/2006/relationships/hyperlink" Target="https://bit.ly/3lJ2SiL" TargetMode="External"/><Relationship Id="rId5" Type="http://schemas.openxmlformats.org/officeDocument/2006/relationships/hyperlink" Target="https://bit.ly/37MSCjV" TargetMode="External"/><Relationship Id="rId10" Type="http://schemas.openxmlformats.org/officeDocument/2006/relationships/hyperlink" Target="http://bit.ly/3o9vkw9" TargetMode="External"/><Relationship Id="rId4" Type="http://schemas.openxmlformats.org/officeDocument/2006/relationships/hyperlink" Target="https://www.youtube.com/playlist?list=PLPt2dINI2MIaNcU070HIAO8JWYBcafuyG" TargetMode="External"/><Relationship Id="rId9" Type="http://schemas.openxmlformats.org/officeDocument/2006/relationships/hyperlink" Target="https://bit.ly/3lJ2SiL" TargetMode="External"/><Relationship Id="rId14" Type="http://schemas.openxmlformats.org/officeDocument/2006/relationships/hyperlink" Target="https://www.youtube.com/watch?v=Fr6wJ5_Hok0&amp;list=PL1DUmTEdeA6IUD9Gt5rZlQfbZyAWXd-oD"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ask.fm/mostafasaad87/answers/150802497762" TargetMode="External"/><Relationship Id="rId2" Type="http://schemas.openxmlformats.org/officeDocument/2006/relationships/hyperlink" Target="https://ask.fm/mostafasaad87/answers/145333554402" TargetMode="External"/><Relationship Id="rId1" Type="http://schemas.openxmlformats.org/officeDocument/2006/relationships/hyperlink" Target="https://ask.fm/mostafasaad87/answers/144907000290" TargetMode="External"/><Relationship Id="rId4" Type="http://schemas.openxmlformats.org/officeDocument/2006/relationships/hyperlink" Target="https://ask.fm/mostafasaad87/answers/148552940002"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youtube.com/watch?v=aCyJ9DXMyG4" TargetMode="External"/><Relationship Id="rId13" Type="http://schemas.openxmlformats.org/officeDocument/2006/relationships/hyperlink" Target="https://www.youtube.com/watch?v=kzbNSOrPhLw" TargetMode="External"/><Relationship Id="rId18" Type="http://schemas.openxmlformats.org/officeDocument/2006/relationships/hyperlink" Target="https://www.youtube.com/watch?v=tWtVQDdh4x0" TargetMode="External"/><Relationship Id="rId26" Type="http://schemas.openxmlformats.org/officeDocument/2006/relationships/hyperlink" Target="https://www.youtube.com/watch?v=NsLbHrp1wgE" TargetMode="External"/><Relationship Id="rId3" Type="http://schemas.openxmlformats.org/officeDocument/2006/relationships/hyperlink" Target="https://www.youtube.com/watch?v=FpVDX3BaHoA" TargetMode="External"/><Relationship Id="rId21" Type="http://schemas.openxmlformats.org/officeDocument/2006/relationships/hyperlink" Target="https://www.youtube.com/watch?v=PfYtSYMsC_o" TargetMode="External"/><Relationship Id="rId7" Type="http://schemas.openxmlformats.org/officeDocument/2006/relationships/hyperlink" Target="https://www.youtube.com/watch?v=OXdVgaFbNdw" TargetMode="External"/><Relationship Id="rId12" Type="http://schemas.openxmlformats.org/officeDocument/2006/relationships/hyperlink" Target="https://www.youtube.com/watch?v=7igZyGkblNI" TargetMode="External"/><Relationship Id="rId17" Type="http://schemas.openxmlformats.org/officeDocument/2006/relationships/hyperlink" Target="https://www.youtube.com/watch?v=NKV3CkvRqQs" TargetMode="External"/><Relationship Id="rId25" Type="http://schemas.openxmlformats.org/officeDocument/2006/relationships/hyperlink" Target="https://www.youtube.com/watch?v=hV_4o68Ocjs" TargetMode="External"/><Relationship Id="rId2" Type="http://schemas.openxmlformats.org/officeDocument/2006/relationships/hyperlink" Target="https://www.youtube.com/watch?v=BWScOsmTAE4" TargetMode="External"/><Relationship Id="rId16" Type="http://schemas.openxmlformats.org/officeDocument/2006/relationships/hyperlink" Target="https://www.youtube.com/watch?v=OszkzU9DP_w" TargetMode="External"/><Relationship Id="rId20" Type="http://schemas.openxmlformats.org/officeDocument/2006/relationships/hyperlink" Target="https://www.youtube.com/watch?v=KwjXrL1se6s" TargetMode="External"/><Relationship Id="rId1" Type="http://schemas.openxmlformats.org/officeDocument/2006/relationships/hyperlink" Target="https://www.youtube.com/watch?v=Bv3LbKCl4j4&amp;feature=youtu.be" TargetMode="External"/><Relationship Id="rId6" Type="http://schemas.openxmlformats.org/officeDocument/2006/relationships/hyperlink" Target="https://www.youtube.com/watch?v=tjxvbYhX_n8" TargetMode="External"/><Relationship Id="rId11" Type="http://schemas.openxmlformats.org/officeDocument/2006/relationships/hyperlink" Target="https://www.youtube.com/watch?v=nwA_ZBsHkko" TargetMode="External"/><Relationship Id="rId24" Type="http://schemas.openxmlformats.org/officeDocument/2006/relationships/hyperlink" Target="https://www.youtube.com/watch?v=G_58wT2X5m8" TargetMode="External"/><Relationship Id="rId5" Type="http://schemas.openxmlformats.org/officeDocument/2006/relationships/hyperlink" Target="https://www.youtube.com/watch?v=ge0GEcF9g_c" TargetMode="External"/><Relationship Id="rId15" Type="http://schemas.openxmlformats.org/officeDocument/2006/relationships/hyperlink" Target="https://www.youtube.com/watch?v=2DAyAjkviBc" TargetMode="External"/><Relationship Id="rId23" Type="http://schemas.openxmlformats.org/officeDocument/2006/relationships/hyperlink" Target="https://www.youtube.com/watch?v=Nt3FBMtxumo" TargetMode="External"/><Relationship Id="rId28" Type="http://schemas.openxmlformats.org/officeDocument/2006/relationships/printerSettings" Target="../printerSettings/printerSettings1.bin"/><Relationship Id="rId10" Type="http://schemas.openxmlformats.org/officeDocument/2006/relationships/hyperlink" Target="https://www.youtube.com/watch?v=-PQMJGYLCZo" TargetMode="External"/><Relationship Id="rId19" Type="http://schemas.openxmlformats.org/officeDocument/2006/relationships/hyperlink" Target="https://www.youtube.com/watch?v=3JVCXe6UrHk" TargetMode="External"/><Relationship Id="rId4" Type="http://schemas.openxmlformats.org/officeDocument/2006/relationships/hyperlink" Target="https://www.youtube.com/watch?v=uklCQ3koSH0" TargetMode="External"/><Relationship Id="rId9" Type="http://schemas.openxmlformats.org/officeDocument/2006/relationships/hyperlink" Target="https://www.youtube.com/watch?v=s3CrPJ5X87s" TargetMode="External"/><Relationship Id="rId14" Type="http://schemas.openxmlformats.org/officeDocument/2006/relationships/hyperlink" Target="https://www.youtube.com/watch?v=1NW55VtNrko" TargetMode="External"/><Relationship Id="rId22" Type="http://schemas.openxmlformats.org/officeDocument/2006/relationships/hyperlink" Target="https://www.youtube.com/watch?v=NwVmubOPH_0" TargetMode="External"/><Relationship Id="rId27" Type="http://schemas.openxmlformats.org/officeDocument/2006/relationships/hyperlink" Target="https://www.youtube.com/watch?v=VHR5LbIMrNM"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www.youtube.com/watch?v=-VBxPnLk3_c&amp;feature=youtu.be" TargetMode="External"/><Relationship Id="rId13" Type="http://schemas.openxmlformats.org/officeDocument/2006/relationships/hyperlink" Target="https://www.youtube.com/watch?v=pE3ksAAcqEI" TargetMode="External"/><Relationship Id="rId3" Type="http://schemas.openxmlformats.org/officeDocument/2006/relationships/hyperlink" Target="https://www.youtube.com/watch?v=49Mnel1CPjM&amp;feature=youtu.be" TargetMode="External"/><Relationship Id="rId7" Type="http://schemas.openxmlformats.org/officeDocument/2006/relationships/hyperlink" Target="https://www.youtube.com/watch?v=YKDpTulKcLY&amp;feature=youtu.be" TargetMode="External"/><Relationship Id="rId12" Type="http://schemas.openxmlformats.org/officeDocument/2006/relationships/hyperlink" Target="https://www.youtube.com/watch?v=oAOERsp49B8" TargetMode="External"/><Relationship Id="rId2" Type="http://schemas.openxmlformats.org/officeDocument/2006/relationships/hyperlink" Target="https://onlinejudge.org/index.php?option=onlinejudge&amp;Itemid=8&amp;page=show_problem&amp;problem=1402" TargetMode="External"/><Relationship Id="rId1" Type="http://schemas.openxmlformats.org/officeDocument/2006/relationships/hyperlink" Target="https://www.youtube.com/watch?v=KAS83uXf_8s&amp;list=PLPt2dINI2MIZPFq6HyUB1Uhxdh1UDnZMS" TargetMode="External"/><Relationship Id="rId6" Type="http://schemas.openxmlformats.org/officeDocument/2006/relationships/hyperlink" Target="https://www.youtube.com/watch?v=hyk46UmJPS4&amp;list=PLPt2dINI2MIZPFq6HyUB1Uhxdh1UDnZMS&amp;index=22" TargetMode="External"/><Relationship Id="rId11" Type="http://schemas.openxmlformats.org/officeDocument/2006/relationships/hyperlink" Target="https://www.youtube.com/watch?v=iPIcF469yRw" TargetMode="External"/><Relationship Id="rId5" Type="http://schemas.openxmlformats.org/officeDocument/2006/relationships/hyperlink" Target="https://www.youtube.com/watch?v=ZlyYQqYj2W8&amp;list=PLPt2dINI2MIbwnEoeHZnUHeUHjTd8x4F3&amp;index=32&amp;t=1s" TargetMode="External"/><Relationship Id="rId15" Type="http://schemas.openxmlformats.org/officeDocument/2006/relationships/hyperlink" Target="https://onlinejudge.org/index.php?option=com_onlinejudge&amp;Itemid=8&amp;page=show_problem&amp;problem=3615" TargetMode="External"/><Relationship Id="rId10" Type="http://schemas.openxmlformats.org/officeDocument/2006/relationships/hyperlink" Target="https://www.youtube.com/watch?v=LigGvEEwnDQ" TargetMode="External"/><Relationship Id="rId4" Type="http://schemas.openxmlformats.org/officeDocument/2006/relationships/hyperlink" Target="https://www.spoj.com/problems/POSTERIN/" TargetMode="External"/><Relationship Id="rId9" Type="http://schemas.openxmlformats.org/officeDocument/2006/relationships/hyperlink" Target="https://www.youtube.com/watch?v=LigGvEEwnDQ" TargetMode="External"/><Relationship Id="rId14" Type="http://schemas.openxmlformats.org/officeDocument/2006/relationships/hyperlink" Target="https://www.youtube.com/watch?v=PId-mUSek5s&amp;feature=youtu.b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www.youtube.com/watch?v=Wxzd5xY_Kso" TargetMode="External"/><Relationship Id="rId3" Type="http://schemas.openxmlformats.org/officeDocument/2006/relationships/hyperlink" Target="https://github.com/omarkhair/Problems-Editorial/blob/master/UVA/10036%20-%20Divisibility/Editorial.md" TargetMode="External"/><Relationship Id="rId7" Type="http://schemas.openxmlformats.org/officeDocument/2006/relationships/hyperlink" Target="https://github.com/omarkhair/Problems-Editorial/blob/master/UVA/196-Spreadsheet/code.cpp" TargetMode="External"/><Relationship Id="rId12" Type="http://schemas.openxmlformats.org/officeDocument/2006/relationships/comments" Target="../comments1.xml"/><Relationship Id="rId2" Type="http://schemas.openxmlformats.org/officeDocument/2006/relationships/hyperlink" Target="https://algorithmist.com/wiki/UVa_101_-_The_Blocks_Problem" TargetMode="External"/><Relationship Id="rId1" Type="http://schemas.openxmlformats.org/officeDocument/2006/relationships/hyperlink" Target="https://onlinejudge.org/index.php?option=onlinejudge&amp;page=show_problem&amp;problem=1784" TargetMode="External"/><Relationship Id="rId6" Type="http://schemas.openxmlformats.org/officeDocument/2006/relationships/hyperlink" Target="https://github.com/omarkhair/Problems-Editorial/blob/master/UVA/10920%20-%20Spiral%20Tap/Editorial.md" TargetMode="External"/><Relationship Id="rId11" Type="http://schemas.openxmlformats.org/officeDocument/2006/relationships/vmlDrawing" Target="../drawings/vmlDrawing1.vml"/><Relationship Id="rId5" Type="http://schemas.openxmlformats.org/officeDocument/2006/relationships/hyperlink" Target="https://github.com/omarkhair/Problems-Editorial/blob/master/ZOJ/1200%20Mining/Editorial.md" TargetMode="External"/><Relationship Id="rId10" Type="http://schemas.openxmlformats.org/officeDocument/2006/relationships/hyperlink" Target="https://onlinejudge.org/index.php?option=onlinejudge&amp;page=show_problem&amp;problem=2620" TargetMode="External"/><Relationship Id="rId4" Type="http://schemas.openxmlformats.org/officeDocument/2006/relationships/hyperlink" Target="https://zoj.pintia.cn/problem-sets/91827364500/problems/91827364699" TargetMode="External"/><Relationship Id="rId9" Type="http://schemas.openxmlformats.org/officeDocument/2006/relationships/hyperlink" Target="https://github.com/MohamedNabil97/CompetitiveProgramming/blob/master/UVA/10139.cpp"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onlinejudge.org/index.php?option=onlinejudge&amp;Itemid=8&amp;page=show_problem&amp;problem=394" TargetMode="External"/><Relationship Id="rId2" Type="http://schemas.openxmlformats.org/officeDocument/2006/relationships/hyperlink" Target="https://github.com/omarkhair/Problems-Editorial/blob/master/UVA/872%20-%20Ordering/Editorial.md" TargetMode="External"/><Relationship Id="rId1" Type="http://schemas.openxmlformats.org/officeDocument/2006/relationships/hyperlink" Target="https://algorithmist.com/wiki/UVa_10462_-_Is_There_A_Second_Way_Left%3F" TargetMode="External"/><Relationship Id="rId5" Type="http://schemas.openxmlformats.org/officeDocument/2006/relationships/hyperlink" Target="https://algorithmist.com/wiki/UVa_10100_-_Longest_Match" TargetMode="External"/><Relationship Id="rId4" Type="http://schemas.openxmlformats.org/officeDocument/2006/relationships/hyperlink" Target="https://onlinejudge.org/index.php?option=onlinejudge&amp;page=show_problem&amp;problem=1466"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zoj.pintia.cn/problem-sets/91827364500/problems/91827364699" TargetMode="External"/><Relationship Id="rId3" Type="http://schemas.openxmlformats.org/officeDocument/2006/relationships/hyperlink" Target="https://github.com/omarkhair/Problems-Editorial/blob/master/UVA/10036%20-%20Divisibility/Editorial.md" TargetMode="External"/><Relationship Id="rId7" Type="http://schemas.openxmlformats.org/officeDocument/2006/relationships/hyperlink" Target="https://algorithmist.com/wiki/UVa_10462_-_Is_There_A_Second_Way_Left%3F" TargetMode="External"/><Relationship Id="rId12" Type="http://schemas.openxmlformats.org/officeDocument/2006/relationships/comments" Target="../comments2.xml"/><Relationship Id="rId2" Type="http://schemas.openxmlformats.org/officeDocument/2006/relationships/hyperlink" Target="https://github.com/omarkhair/Problems-Editorial/blob/master/UVA/10920%20-%20Spiral%20Tap/Editorial.md" TargetMode="External"/><Relationship Id="rId1" Type="http://schemas.openxmlformats.org/officeDocument/2006/relationships/hyperlink" Target="https://www.youtube.com/watch?v=-VBxPnLk3_c&amp;feature=youtu.be" TargetMode="External"/><Relationship Id="rId6" Type="http://schemas.openxmlformats.org/officeDocument/2006/relationships/hyperlink" Target="https://github.com/omarkhair/Problems-Editorial/blob/master/UVA/196-Spreadsheet/code.cpp" TargetMode="External"/><Relationship Id="rId11" Type="http://schemas.openxmlformats.org/officeDocument/2006/relationships/vmlDrawing" Target="../drawings/vmlDrawing2.vml"/><Relationship Id="rId5" Type="http://schemas.openxmlformats.org/officeDocument/2006/relationships/hyperlink" Target="https://github.com/omarkhair/Problems-Editorial/blob/master/UVA/872%20-%20Ordering/Editorial.md" TargetMode="External"/><Relationship Id="rId10" Type="http://schemas.openxmlformats.org/officeDocument/2006/relationships/hyperlink" Target="https://algorithmist.com/wiki/UVa_101_-_The_Blocks_Problem" TargetMode="External"/><Relationship Id="rId4" Type="http://schemas.openxmlformats.org/officeDocument/2006/relationships/hyperlink" Target="https://algorithmist.com/wiki/UVa_10100_-_Longest_Match" TargetMode="External"/><Relationship Id="rId9" Type="http://schemas.openxmlformats.org/officeDocument/2006/relationships/hyperlink" Target="https://github.com/omarkhair/Problems-Editorial/blob/master/ZOJ/1200%20Mining/Editorial.m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86"/>
  <sheetViews>
    <sheetView topLeftCell="A56" workbookViewId="0">
      <selection sqref="A1:A14"/>
    </sheetView>
  </sheetViews>
  <sheetFormatPr defaultColWidth="15.1796875" defaultRowHeight="15.75" customHeight="1"/>
  <cols>
    <col min="1" max="1" width="22.7265625" customWidth="1"/>
    <col min="7" max="7" width="16.26953125" customWidth="1"/>
    <col min="8" max="8" width="21.54296875" customWidth="1"/>
  </cols>
  <sheetData>
    <row r="1" spans="1:8" ht="12.5">
      <c r="A1" s="373" t="s">
        <v>0</v>
      </c>
      <c r="B1" s="387" t="s">
        <v>1</v>
      </c>
      <c r="C1" s="365"/>
      <c r="D1" s="365"/>
      <c r="E1" s="365"/>
      <c r="F1" s="365"/>
      <c r="G1" s="365"/>
      <c r="H1" s="365"/>
    </row>
    <row r="2" spans="1:8" ht="12.5">
      <c r="A2" s="365"/>
      <c r="B2" s="367" t="s">
        <v>2</v>
      </c>
      <c r="C2" s="365"/>
      <c r="D2" s="365"/>
      <c r="E2" s="365"/>
      <c r="F2" s="365"/>
      <c r="G2" s="365"/>
      <c r="H2" s="365"/>
    </row>
    <row r="3" spans="1:8" ht="13">
      <c r="A3" s="365"/>
      <c r="B3" s="367" t="s">
        <v>3</v>
      </c>
      <c r="C3" s="365"/>
      <c r="D3" s="3"/>
      <c r="E3" s="4" t="str">
        <f>HYPERLINK("https://goo.gl/unDETI","Latest Version")</f>
        <v>Latest Version</v>
      </c>
      <c r="F3" s="2"/>
      <c r="G3" s="2"/>
      <c r="H3" s="2"/>
    </row>
    <row r="4" spans="1:8" ht="13">
      <c r="A4" s="365"/>
      <c r="B4" s="388" t="s">
        <v>4</v>
      </c>
      <c r="C4" s="365"/>
      <c r="D4" s="365"/>
      <c r="E4" s="365"/>
      <c r="F4" s="2"/>
      <c r="G4" s="2"/>
      <c r="H4" s="2"/>
    </row>
    <row r="5" spans="1:8" ht="12.5">
      <c r="A5" s="365"/>
      <c r="B5" s="387" t="s">
        <v>5</v>
      </c>
      <c r="C5" s="365"/>
      <c r="D5" s="5" t="s">
        <v>6</v>
      </c>
      <c r="E5" s="2"/>
      <c r="F5" s="2"/>
      <c r="G5" s="2"/>
      <c r="H5" s="2"/>
    </row>
    <row r="6" spans="1:8" ht="13">
      <c r="A6" s="365"/>
      <c r="B6" s="1"/>
      <c r="C6" s="1"/>
      <c r="D6" s="1"/>
      <c r="E6" s="1"/>
      <c r="F6" s="1"/>
      <c r="G6" s="1"/>
      <c r="H6" s="2"/>
    </row>
    <row r="7" spans="1:8" ht="13">
      <c r="A7" s="365"/>
      <c r="B7" s="373" t="s">
        <v>7</v>
      </c>
      <c r="C7" s="365"/>
      <c r="D7" s="365"/>
      <c r="E7" s="365"/>
      <c r="F7" s="1"/>
      <c r="G7" s="1"/>
      <c r="H7" s="2"/>
    </row>
    <row r="8" spans="1:8" ht="13.5">
      <c r="A8" s="365"/>
      <c r="B8" s="383" t="s">
        <v>8</v>
      </c>
      <c r="C8" s="365"/>
      <c r="D8" s="365"/>
      <c r="E8" s="6"/>
      <c r="F8" s="1"/>
      <c r="G8" s="1"/>
      <c r="H8" s="2"/>
    </row>
    <row r="9" spans="1:8" ht="13">
      <c r="A9" s="365"/>
      <c r="B9" s="384" t="str">
        <f>HYPERLINK("https://www.youtube.com/watch?v=DZ6YTtILCE8","Video Introducing roadmap (Arabic) - to min 18 ONLY")</f>
        <v>Video Introducing roadmap (Arabic) - to min 18 ONLY</v>
      </c>
      <c r="C9" s="365"/>
      <c r="D9" s="365"/>
      <c r="E9" s="6"/>
      <c r="F9" s="1"/>
      <c r="G9" s="1"/>
      <c r="H9" s="2"/>
    </row>
    <row r="10" spans="1:8" ht="13">
      <c r="A10" s="365"/>
      <c r="B10" s="385" t="s">
        <v>9</v>
      </c>
      <c r="C10" s="365"/>
      <c r="D10" s="365"/>
      <c r="E10" s="6"/>
      <c r="F10" s="1"/>
      <c r="G10" s="1"/>
      <c r="H10" s="2"/>
    </row>
    <row r="11" spans="1:8" ht="12.5">
      <c r="A11" s="365"/>
      <c r="B11" s="386" t="s">
        <v>10</v>
      </c>
      <c r="C11" s="365"/>
      <c r="D11" s="365"/>
      <c r="E11" s="365"/>
      <c r="F11" s="365"/>
      <c r="G11" s="365"/>
      <c r="H11" s="2"/>
    </row>
    <row r="12" spans="1:8" ht="13">
      <c r="A12" s="365"/>
      <c r="B12" s="6"/>
      <c r="C12" s="6"/>
      <c r="D12" s="6"/>
      <c r="E12" s="6"/>
      <c r="F12" s="1"/>
      <c r="G12" s="1"/>
      <c r="H12" s="2"/>
    </row>
    <row r="13" spans="1:8" ht="12.5">
      <c r="A13" s="365"/>
      <c r="B13" s="386" t="s">
        <v>11</v>
      </c>
      <c r="C13" s="365"/>
      <c r="D13" s="365"/>
      <c r="E13" s="365"/>
      <c r="F13" s="365"/>
      <c r="G13" s="365"/>
      <c r="H13" s="2"/>
    </row>
    <row r="14" spans="1:8" ht="13">
      <c r="A14" s="365"/>
      <c r="B14" s="387" t="s">
        <v>12</v>
      </c>
      <c r="C14" s="365"/>
      <c r="D14" s="365"/>
      <c r="E14" s="365"/>
      <c r="F14" s="365"/>
      <c r="G14" s="8" t="s">
        <v>13</v>
      </c>
      <c r="H14" s="2"/>
    </row>
    <row r="15" spans="1:8" ht="13">
      <c r="A15" s="9"/>
      <c r="B15" s="10"/>
      <c r="C15" s="10"/>
      <c r="D15" s="10"/>
      <c r="E15" s="10"/>
      <c r="F15" s="10"/>
      <c r="G15" s="10"/>
      <c r="H15" s="10"/>
    </row>
    <row r="16" spans="1:8" ht="12.5">
      <c r="A16" s="379" t="s">
        <v>14</v>
      </c>
      <c r="B16" s="367" t="s">
        <v>15</v>
      </c>
      <c r="C16" s="365"/>
      <c r="D16" s="365"/>
      <c r="E16" s="365"/>
      <c r="F16" s="365"/>
      <c r="G16" s="11"/>
      <c r="H16" s="11"/>
    </row>
    <row r="17" spans="1:8" ht="12.5">
      <c r="A17" s="365"/>
      <c r="B17" s="380" t="s">
        <v>16</v>
      </c>
      <c r="C17" s="365"/>
      <c r="D17" s="365"/>
      <c r="H17" s="3"/>
    </row>
    <row r="18" spans="1:8" ht="12.5">
      <c r="A18" s="365"/>
      <c r="B18" s="381"/>
      <c r="C18" s="365"/>
      <c r="D18" s="365"/>
      <c r="E18" s="365"/>
      <c r="F18" s="365"/>
      <c r="G18" s="365"/>
      <c r="H18" s="3"/>
    </row>
    <row r="19" spans="1:8" ht="13">
      <c r="A19" s="9"/>
      <c r="B19" s="10"/>
      <c r="C19" s="10"/>
      <c r="D19" s="10"/>
      <c r="E19" s="10"/>
      <c r="F19" s="10"/>
      <c r="G19" s="10"/>
      <c r="H19" s="10"/>
    </row>
    <row r="20" spans="1:8" ht="13.5">
      <c r="A20" s="377" t="s">
        <v>17</v>
      </c>
      <c r="B20" s="378" t="s">
        <v>18</v>
      </c>
      <c r="C20" s="365"/>
      <c r="D20" s="365"/>
      <c r="E20" s="365"/>
    </row>
    <row r="21" spans="1:8" ht="13.5">
      <c r="A21" s="365"/>
      <c r="B21" s="376" t="s">
        <v>19</v>
      </c>
      <c r="C21" s="365"/>
      <c r="D21" s="365"/>
      <c r="E21" s="365"/>
      <c r="F21" s="364" t="s">
        <v>20</v>
      </c>
      <c r="G21" s="365"/>
      <c r="H21" s="365"/>
    </row>
    <row r="22" spans="1:8" ht="15.5">
      <c r="A22" s="365"/>
      <c r="B22" s="376" t="s">
        <v>21</v>
      </c>
      <c r="C22" s="365"/>
      <c r="D22" s="365"/>
      <c r="E22" s="365"/>
      <c r="F22" s="14"/>
      <c r="G22" s="10"/>
      <c r="H22" s="10"/>
    </row>
    <row r="23" spans="1:8" ht="13.5">
      <c r="A23" s="365"/>
      <c r="B23" s="376" t="s">
        <v>22</v>
      </c>
      <c r="C23" s="365"/>
      <c r="D23" s="365"/>
      <c r="E23" s="365"/>
      <c r="F23" s="10"/>
      <c r="G23" s="10"/>
      <c r="H23" s="10"/>
    </row>
    <row r="24" spans="1:8" ht="13.5">
      <c r="A24" s="365"/>
      <c r="B24" s="376" t="s">
        <v>23</v>
      </c>
      <c r="C24" s="365"/>
      <c r="D24" s="365"/>
      <c r="E24" s="365"/>
      <c r="F24" s="15"/>
      <c r="G24" s="15"/>
      <c r="H24" s="15"/>
    </row>
    <row r="25" spans="1:8" ht="13.5">
      <c r="A25" s="365"/>
      <c r="B25" s="376" t="s">
        <v>24</v>
      </c>
      <c r="C25" s="365"/>
      <c r="D25" s="365"/>
      <c r="E25" s="365"/>
      <c r="F25" s="12"/>
      <c r="G25" s="12"/>
      <c r="H25" s="12"/>
    </row>
    <row r="26" spans="1:8" ht="13">
      <c r="A26" s="9"/>
      <c r="B26" s="10"/>
      <c r="C26" s="10"/>
      <c r="D26" s="10"/>
      <c r="E26" s="10"/>
      <c r="F26" s="10"/>
      <c r="G26" s="10"/>
      <c r="H26" s="10"/>
    </row>
    <row r="27" spans="1:8" ht="13">
      <c r="A27" s="16" t="s">
        <v>25</v>
      </c>
      <c r="B27" s="364" t="s">
        <v>26</v>
      </c>
      <c r="C27" s="365"/>
      <c r="D27" s="365"/>
      <c r="E27" s="365"/>
      <c r="F27" s="365"/>
      <c r="G27" s="365"/>
      <c r="H27" s="10"/>
    </row>
    <row r="28" spans="1:8" ht="13">
      <c r="A28" s="9"/>
      <c r="B28" s="10"/>
      <c r="C28" s="10"/>
      <c r="D28" s="10"/>
      <c r="E28" s="10"/>
      <c r="F28" s="10"/>
      <c r="G28" s="10"/>
      <c r="H28" s="10"/>
    </row>
    <row r="29" spans="1:8" ht="13">
      <c r="A29" s="1" t="s">
        <v>27</v>
      </c>
      <c r="B29" s="367" t="s">
        <v>28</v>
      </c>
      <c r="C29" s="365"/>
      <c r="D29" s="365"/>
      <c r="E29" s="365"/>
      <c r="F29" s="365"/>
      <c r="G29" s="365"/>
      <c r="H29" s="365"/>
    </row>
    <row r="30" spans="1:8" ht="13">
      <c r="A30" s="1" t="s">
        <v>29</v>
      </c>
      <c r="B30" s="367" t="s">
        <v>30</v>
      </c>
      <c r="C30" s="365"/>
      <c r="D30" s="365"/>
      <c r="E30" s="365"/>
      <c r="F30" s="365"/>
      <c r="G30" s="365"/>
      <c r="H30" s="365"/>
    </row>
    <row r="31" spans="1:8" ht="13">
      <c r="A31" s="1"/>
      <c r="B31" s="3"/>
      <c r="C31" s="3"/>
      <c r="D31" s="3"/>
      <c r="E31" s="3"/>
      <c r="F31" s="3"/>
      <c r="G31" s="3"/>
      <c r="H31" s="3"/>
    </row>
    <row r="32" spans="1:8" ht="26">
      <c r="A32" s="1" t="s">
        <v>31</v>
      </c>
      <c r="B32" s="367" t="s">
        <v>32</v>
      </c>
      <c r="C32" s="365"/>
      <c r="D32" s="365"/>
      <c r="E32" s="365"/>
      <c r="F32" s="365"/>
      <c r="G32" s="365"/>
      <c r="H32" s="365"/>
    </row>
    <row r="33" spans="1:8" ht="13">
      <c r="A33" s="1"/>
      <c r="B33" s="3"/>
      <c r="C33" s="3"/>
      <c r="D33" s="3"/>
      <c r="E33" s="3"/>
      <c r="F33" s="3"/>
      <c r="G33" s="3"/>
      <c r="H33" s="3"/>
    </row>
    <row r="34" spans="1:8" ht="13">
      <c r="A34" s="17" t="s">
        <v>33</v>
      </c>
      <c r="B34" s="367" t="s">
        <v>34</v>
      </c>
      <c r="C34" s="365"/>
      <c r="D34" s="365"/>
      <c r="E34" s="365"/>
      <c r="F34" s="365"/>
      <c r="G34" s="365"/>
      <c r="H34" s="365"/>
    </row>
    <row r="35" spans="1:8" ht="13">
      <c r="A35" s="1" t="s">
        <v>35</v>
      </c>
      <c r="B35" s="367" t="s">
        <v>36</v>
      </c>
      <c r="C35" s="365"/>
      <c r="D35" s="365"/>
      <c r="E35" s="365"/>
      <c r="F35" s="365"/>
      <c r="G35" s="365"/>
      <c r="H35" s="365"/>
    </row>
    <row r="36" spans="1:8" ht="13">
      <c r="A36" s="18"/>
      <c r="B36" s="3"/>
      <c r="C36" s="3"/>
      <c r="D36" s="7"/>
      <c r="E36" s="3"/>
      <c r="F36" s="3"/>
      <c r="G36" s="3"/>
      <c r="H36" s="19"/>
    </row>
    <row r="37" spans="1:8" ht="13">
      <c r="A37" s="20"/>
      <c r="B37" s="3"/>
      <c r="C37" s="3"/>
      <c r="D37" s="3"/>
      <c r="E37" s="3"/>
      <c r="F37" s="3"/>
      <c r="G37" s="3"/>
      <c r="H37" s="3"/>
    </row>
    <row r="38" spans="1:8" ht="13">
      <c r="A38" s="1" t="s">
        <v>37</v>
      </c>
      <c r="B38" s="367" t="s">
        <v>38</v>
      </c>
      <c r="C38" s="365"/>
      <c r="D38" s="365"/>
      <c r="E38" s="365"/>
      <c r="F38" s="365"/>
      <c r="G38" s="365"/>
      <c r="H38" s="365"/>
    </row>
    <row r="39" spans="1:8" ht="13">
      <c r="A39" s="1" t="s">
        <v>39</v>
      </c>
      <c r="B39" s="367" t="s">
        <v>40</v>
      </c>
      <c r="C39" s="365"/>
      <c r="D39" s="365"/>
      <c r="E39" s="365"/>
      <c r="F39" s="365"/>
      <c r="G39" s="365"/>
      <c r="H39" s="365"/>
    </row>
    <row r="40" spans="1:8" ht="13">
      <c r="A40" s="20"/>
      <c r="B40" s="3"/>
      <c r="C40" s="3"/>
      <c r="D40" s="3"/>
      <c r="E40" s="3"/>
      <c r="F40" s="3"/>
      <c r="G40" s="3"/>
      <c r="H40" s="3"/>
    </row>
    <row r="41" spans="1:8" ht="12.5">
      <c r="A41" s="373" t="s">
        <v>41</v>
      </c>
      <c r="B41" s="367" t="s">
        <v>42</v>
      </c>
      <c r="C41" s="365"/>
      <c r="D41" s="365"/>
      <c r="E41" s="365"/>
      <c r="F41" s="365"/>
      <c r="G41" s="365"/>
      <c r="H41" s="365"/>
    </row>
    <row r="42" spans="1:8" ht="12.5">
      <c r="A42" s="365"/>
      <c r="B42" s="367" t="s">
        <v>43</v>
      </c>
      <c r="C42" s="365"/>
      <c r="D42" s="365"/>
      <c r="E42" s="365"/>
      <c r="F42" s="365"/>
      <c r="G42" s="365"/>
      <c r="H42" s="365"/>
    </row>
    <row r="43" spans="1:8" ht="12.5">
      <c r="A43" s="365"/>
      <c r="B43" s="367" t="s">
        <v>44</v>
      </c>
      <c r="C43" s="365"/>
      <c r="D43" s="365"/>
      <c r="E43" s="365"/>
      <c r="F43" s="365"/>
      <c r="G43" s="365"/>
      <c r="H43" s="365"/>
    </row>
    <row r="44" spans="1:8" ht="12.5">
      <c r="A44" s="365"/>
      <c r="B44" s="367" t="s">
        <v>45</v>
      </c>
      <c r="C44" s="365"/>
      <c r="D44" s="365"/>
      <c r="E44" s="365"/>
      <c r="F44" s="365"/>
      <c r="G44" s="365"/>
      <c r="H44" s="365"/>
    </row>
    <row r="45" spans="1:8" ht="12.5">
      <c r="A45" s="365"/>
      <c r="B45" s="367" t="s">
        <v>46</v>
      </c>
      <c r="C45" s="365"/>
      <c r="D45" s="365"/>
      <c r="E45" s="365"/>
      <c r="F45" s="365"/>
      <c r="G45" s="365"/>
      <c r="H45" s="365"/>
    </row>
    <row r="46" spans="1:8" ht="12.5">
      <c r="A46" s="365"/>
      <c r="B46" s="367" t="s">
        <v>47</v>
      </c>
      <c r="C46" s="365"/>
      <c r="D46" s="365"/>
      <c r="E46" s="365"/>
      <c r="F46" s="365"/>
      <c r="G46" s="365"/>
      <c r="H46" s="365"/>
    </row>
    <row r="47" spans="1:8" ht="12.5">
      <c r="A47" s="365"/>
      <c r="B47" s="367" t="s">
        <v>48</v>
      </c>
      <c r="C47" s="365"/>
      <c r="D47" s="365"/>
      <c r="E47" s="365"/>
      <c r="F47" s="365"/>
      <c r="G47" s="365"/>
      <c r="H47" s="365"/>
    </row>
    <row r="48" spans="1:8" ht="25">
      <c r="A48" s="365"/>
      <c r="B48" s="11" t="str">
        <f>HYPERLINK("https://uva.onlinejudge.org/index.php?option=com_content&amp;task=view&amp;id=16&amp;Itemid=31","Put problem Status")</f>
        <v>Put problem Status</v>
      </c>
      <c r="C48" s="19" t="s">
        <v>49</v>
      </c>
      <c r="D48" s="19" t="s">
        <v>50</v>
      </c>
      <c r="E48" s="382" t="s">
        <v>51</v>
      </c>
      <c r="F48" s="365"/>
      <c r="G48" s="365"/>
      <c r="H48" s="365"/>
    </row>
    <row r="49" spans="1:8" ht="12.5">
      <c r="A49" s="365"/>
      <c r="B49" s="367" t="s">
        <v>52</v>
      </c>
      <c r="C49" s="365"/>
      <c r="D49" s="365"/>
      <c r="E49" s="365"/>
      <c r="F49" s="365"/>
      <c r="G49" s="365"/>
      <c r="H49" s="365"/>
    </row>
    <row r="50" spans="1:8" ht="12.5">
      <c r="A50" s="365"/>
      <c r="B50" s="367" t="s">
        <v>53</v>
      </c>
      <c r="C50" s="365"/>
      <c r="D50" s="365"/>
      <c r="E50" s="365"/>
      <c r="F50" s="365"/>
      <c r="G50" s="365"/>
      <c r="H50" s="365"/>
    </row>
    <row r="51" spans="1:8" ht="12.5">
      <c r="A51" s="365"/>
      <c r="B51" s="367" t="s">
        <v>54</v>
      </c>
      <c r="C51" s="365"/>
      <c r="D51" s="365"/>
      <c r="E51" s="365"/>
      <c r="F51" s="365"/>
      <c r="G51" s="365"/>
      <c r="H51" s="365"/>
    </row>
    <row r="52" spans="1:8" ht="13">
      <c r="A52" s="20"/>
      <c r="B52" s="3"/>
      <c r="C52" s="3"/>
      <c r="D52" s="3"/>
      <c r="E52" s="3"/>
      <c r="F52" s="3"/>
      <c r="G52" s="3"/>
      <c r="H52" s="3"/>
    </row>
    <row r="53" spans="1:8" ht="13">
      <c r="A53" s="20" t="s">
        <v>55</v>
      </c>
      <c r="B53" s="367" t="s">
        <v>56</v>
      </c>
      <c r="C53" s="365"/>
      <c r="D53" s="365"/>
      <c r="E53" s="365"/>
      <c r="F53" s="365"/>
      <c r="G53" s="365"/>
      <c r="H53" s="365"/>
    </row>
    <row r="54" spans="1:8" ht="13">
      <c r="A54" s="20"/>
      <c r="B54" s="3"/>
      <c r="C54" s="3"/>
      <c r="D54" s="3"/>
      <c r="E54" s="3"/>
      <c r="F54" s="3"/>
      <c r="G54" s="3"/>
      <c r="H54" s="3"/>
    </row>
    <row r="55" spans="1:8" ht="12.5">
      <c r="A55" s="373" t="s">
        <v>57</v>
      </c>
      <c r="B55" s="21" t="str">
        <f>HYPERLINK("http://codeforces.com/contest/136/problem/A","CF136-D2-A")</f>
        <v>CF136-D2-A</v>
      </c>
      <c r="C55" s="367" t="s">
        <v>58</v>
      </c>
      <c r="D55" s="365"/>
      <c r="E55" s="365"/>
      <c r="F55" s="365"/>
      <c r="G55" s="365"/>
      <c r="H55" s="365"/>
    </row>
    <row r="56" spans="1:8" ht="25">
      <c r="A56" s="365"/>
      <c r="B56" s="3" t="s">
        <v>59</v>
      </c>
      <c r="C56" s="367" t="s">
        <v>60</v>
      </c>
      <c r="D56" s="365"/>
      <c r="E56" s="365"/>
      <c r="F56" s="365"/>
      <c r="G56" s="365"/>
      <c r="H56" s="365"/>
    </row>
    <row r="57" spans="1:8" ht="13">
      <c r="A57" s="20"/>
      <c r="B57" s="368" t="s">
        <v>61</v>
      </c>
      <c r="C57" s="369"/>
      <c r="D57" s="369"/>
      <c r="E57" s="369"/>
      <c r="F57" s="369"/>
      <c r="G57" s="369"/>
      <c r="H57" s="370"/>
    </row>
    <row r="58" spans="1:8" ht="13">
      <c r="A58" s="20"/>
      <c r="B58" s="3"/>
      <c r="C58" s="3"/>
      <c r="D58" s="3"/>
      <c r="E58" s="3"/>
      <c r="F58" s="3"/>
      <c r="G58" s="3"/>
      <c r="H58" s="3"/>
    </row>
    <row r="59" spans="1:8" ht="12.5">
      <c r="A59" s="373" t="s">
        <v>62</v>
      </c>
      <c r="B59" s="22" t="str">
        <f>HYPERLINK("http://codeforces.com/contest/483/problem/A","CF483-D2-A")</f>
        <v>CF483-D2-A</v>
      </c>
      <c r="C59" s="364" t="s">
        <v>63</v>
      </c>
      <c r="D59" s="365"/>
      <c r="E59" s="365"/>
      <c r="F59" s="365"/>
      <c r="G59" s="365"/>
      <c r="H59" s="365"/>
    </row>
    <row r="60" spans="1:8" ht="12.5">
      <c r="A60" s="365"/>
      <c r="B60" s="23" t="str">
        <f>HYPERLINK("https://uva.onlinejudge.org/index.php?option=onlinejudge&amp;page=show_problem&amp;problem=1183","UVA 10242")</f>
        <v>UVA 10242</v>
      </c>
      <c r="C60" s="364" t="s">
        <v>64</v>
      </c>
      <c r="D60" s="365"/>
      <c r="E60" s="365"/>
      <c r="F60" s="365"/>
      <c r="G60" s="365"/>
      <c r="H60" s="365"/>
    </row>
    <row r="61" spans="1:8" ht="12.5">
      <c r="A61" s="365"/>
      <c r="B61" s="24" t="str">
        <f>HYPERLINK("http://www.spoj.com/problems/CDOWN/","SPOJ CDOWN")</f>
        <v>SPOJ CDOWN</v>
      </c>
      <c r="C61" s="364" t="s">
        <v>65</v>
      </c>
      <c r="D61" s="365"/>
      <c r="E61" s="365"/>
      <c r="F61" s="365"/>
      <c r="G61" s="365"/>
      <c r="H61" s="365"/>
    </row>
    <row r="62" spans="1:8" ht="17.25" customHeight="1">
      <c r="A62" s="365"/>
      <c r="B62" s="25" t="str">
        <f>HYPERLINK("http://codeforces.com/contest/518/problem/B","CF518-D2-B")</f>
        <v>CF518-D2-B</v>
      </c>
      <c r="C62" s="364" t="s">
        <v>66</v>
      </c>
      <c r="D62" s="365"/>
      <c r="E62" s="365"/>
      <c r="F62" s="365"/>
      <c r="G62" s="365"/>
      <c r="H62" s="365"/>
    </row>
    <row r="63" spans="1:8" ht="13">
      <c r="A63" s="20"/>
      <c r="B63" s="10"/>
      <c r="C63" s="10"/>
      <c r="D63" s="10"/>
      <c r="E63" s="10"/>
      <c r="F63" s="10"/>
      <c r="G63" s="10"/>
      <c r="H63" s="10"/>
    </row>
    <row r="64" spans="1:8" ht="13">
      <c r="A64" s="1" t="s">
        <v>67</v>
      </c>
      <c r="B64" s="364" t="s">
        <v>68</v>
      </c>
      <c r="C64" s="365"/>
      <c r="D64" s="365"/>
      <c r="E64" s="365"/>
      <c r="F64" s="365"/>
      <c r="G64" s="365"/>
      <c r="H64" s="365"/>
    </row>
    <row r="65" spans="1:8" ht="13">
      <c r="A65" s="20"/>
      <c r="B65" s="10"/>
      <c r="C65" s="10"/>
      <c r="D65" s="10"/>
      <c r="E65" s="10"/>
      <c r="F65" s="10"/>
      <c r="G65" s="10"/>
      <c r="H65" s="10"/>
    </row>
    <row r="66" spans="1:8" ht="13">
      <c r="A66" s="1" t="s">
        <v>69</v>
      </c>
      <c r="B66" s="364" t="s">
        <v>70</v>
      </c>
      <c r="C66" s="365"/>
      <c r="D66" s="365"/>
      <c r="E66" s="365"/>
      <c r="F66" s="365"/>
      <c r="G66" s="365"/>
      <c r="H66" s="365"/>
    </row>
    <row r="67" spans="1:8" ht="13">
      <c r="A67" s="20"/>
      <c r="B67" s="10"/>
      <c r="C67" s="10"/>
      <c r="D67" s="10"/>
      <c r="E67" s="10"/>
      <c r="F67" s="10"/>
      <c r="G67" s="10"/>
      <c r="H67" s="10"/>
    </row>
    <row r="68" spans="1:8" ht="12.5">
      <c r="A68" s="373" t="s">
        <v>71</v>
      </c>
      <c r="B68" s="366" t="str">
        <f>HYPERLINK("https://github.com/lnishan/awesome-competitive-programming","Awesome Competitive Programming")</f>
        <v>Awesome Competitive Programming</v>
      </c>
      <c r="C68" s="365"/>
      <c r="D68" s="367" t="s">
        <v>72</v>
      </c>
      <c r="E68" s="365"/>
      <c r="F68" s="365"/>
      <c r="G68" s="365"/>
      <c r="H68" s="365"/>
    </row>
    <row r="69" spans="1:8" ht="12.5">
      <c r="A69" s="365"/>
      <c r="B69" s="366" t="str">
        <f>HYPERLINK("https://github.com/AhmadElsagheer/Competitive-programming-library/tree/master/curriculum","Ahmed Elsaghir Trainnig")</f>
        <v>Ahmed Elsaghir Trainnig</v>
      </c>
      <c r="C69" s="365"/>
      <c r="D69" s="367" t="s">
        <v>73</v>
      </c>
      <c r="E69" s="365"/>
      <c r="F69" s="365"/>
      <c r="G69" s="365"/>
      <c r="H69" s="365"/>
    </row>
    <row r="70" spans="1:8" ht="12.5">
      <c r="A70" s="365"/>
      <c r="B70" s="366" t="str">
        <f>HYPERLINK("https://a2oj.com/ladders","A2oj Ladders")</f>
        <v>A2oj Ladders</v>
      </c>
      <c r="C70" s="365"/>
      <c r="D70" s="367" t="s">
        <v>74</v>
      </c>
      <c r="E70" s="365"/>
      <c r="F70" s="365"/>
      <c r="G70" s="365"/>
      <c r="H70" s="365"/>
    </row>
    <row r="71" spans="1:8" ht="12.5">
      <c r="A71" s="365"/>
      <c r="B71" s="374" t="str">
        <f>HYPERLINK("https://www.youtube.com/watch?v=mUSajNUEWxg&amp;list=PLb7yniFBnvZIdfxYIKqNlGsTf5oZy4dKk","Prgramming Ahmed M sayd")</f>
        <v>Prgramming Ahmed M sayd</v>
      </c>
      <c r="C71" s="365"/>
      <c r="D71" s="367" t="s">
        <v>75</v>
      </c>
      <c r="E71" s="365"/>
      <c r="F71" s="365"/>
      <c r="G71" s="365"/>
      <c r="H71" s="365"/>
    </row>
    <row r="72" spans="1:8" ht="12.5">
      <c r="A72" s="365"/>
      <c r="B72" s="375" t="s">
        <v>76</v>
      </c>
      <c r="C72" s="365"/>
      <c r="D72" s="367" t="s">
        <v>75</v>
      </c>
      <c r="E72" s="365"/>
      <c r="F72" s="365"/>
      <c r="G72" s="365"/>
      <c r="H72" s="365"/>
    </row>
    <row r="73" spans="1:8" ht="12.5">
      <c r="A73" s="365"/>
      <c r="B73" s="26" t="str">
        <f>HYPERLINK("https://www.youtube.com/playlist?list=PLPt2dINI2MIZi6jW3pFvP9AHDsNi5XlD1","More Resources")</f>
        <v>More Resources</v>
      </c>
      <c r="C73" s="13"/>
      <c r="D73" s="367" t="s">
        <v>77</v>
      </c>
      <c r="E73" s="365"/>
      <c r="F73" s="365"/>
      <c r="G73" s="365"/>
      <c r="H73" s="365"/>
    </row>
    <row r="74" spans="1:8" ht="13">
      <c r="A74" s="20"/>
      <c r="B74" s="3"/>
      <c r="C74" s="3"/>
      <c r="D74" s="3"/>
      <c r="E74" s="3"/>
      <c r="F74" s="3"/>
      <c r="G74" s="3"/>
      <c r="H74" s="3"/>
    </row>
    <row r="75" spans="1:8" ht="12.5">
      <c r="A75" s="373" t="s">
        <v>78</v>
      </c>
      <c r="B75" s="372" t="s">
        <v>79</v>
      </c>
      <c r="C75" s="365"/>
      <c r="D75" s="365"/>
      <c r="E75" s="365"/>
      <c r="F75" s="365"/>
      <c r="G75" s="365"/>
      <c r="H75" s="365"/>
    </row>
    <row r="76" spans="1:8" ht="12.5">
      <c r="A76" s="365"/>
      <c r="B76" s="372" t="s">
        <v>80</v>
      </c>
      <c r="C76" s="365"/>
      <c r="D76" s="365"/>
      <c r="E76" s="365"/>
      <c r="F76" s="365"/>
      <c r="G76" s="365"/>
      <c r="H76" s="365"/>
    </row>
    <row r="77" spans="1:8" ht="12.5">
      <c r="A77" s="365"/>
      <c r="B77" s="367" t="s">
        <v>81</v>
      </c>
      <c r="C77" s="365"/>
      <c r="D77" s="365"/>
      <c r="E77" s="365"/>
      <c r="F77" s="365"/>
      <c r="G77" s="365"/>
      <c r="H77" s="365"/>
    </row>
    <row r="78" spans="1:8" ht="12.5">
      <c r="A78" s="365"/>
      <c r="B78" s="367" t="s">
        <v>82</v>
      </c>
      <c r="C78" s="365"/>
      <c r="D78" s="365"/>
      <c r="E78" s="365"/>
      <c r="F78" s="365"/>
      <c r="G78" s="365"/>
      <c r="H78" s="365"/>
    </row>
    <row r="79" spans="1:8" ht="12.5">
      <c r="A79" s="365"/>
      <c r="B79" s="3" t="s">
        <v>83</v>
      </c>
      <c r="C79" s="3"/>
      <c r="D79" s="3"/>
      <c r="E79" s="3"/>
      <c r="F79" s="3"/>
      <c r="G79" s="3"/>
      <c r="H79" s="3"/>
    </row>
    <row r="80" spans="1:8" ht="12.5">
      <c r="A80" s="365"/>
      <c r="B80" s="367" t="s">
        <v>84</v>
      </c>
      <c r="C80" s="365"/>
      <c r="D80" s="365"/>
      <c r="E80" s="365"/>
      <c r="F80" s="365"/>
      <c r="G80" s="365"/>
      <c r="H80" s="365"/>
    </row>
    <row r="81" spans="1:8" ht="12.5">
      <c r="A81" s="365"/>
      <c r="B81" s="367" t="s">
        <v>85</v>
      </c>
      <c r="C81" s="365"/>
      <c r="D81" s="365"/>
      <c r="E81" s="365"/>
      <c r="F81" s="365"/>
      <c r="G81" s="365"/>
      <c r="H81" s="365"/>
    </row>
    <row r="82" spans="1:8" ht="13">
      <c r="A82" s="27"/>
      <c r="B82" s="10"/>
      <c r="C82" s="10"/>
      <c r="D82" s="10"/>
      <c r="E82" s="10"/>
      <c r="F82" s="10"/>
      <c r="G82" s="10"/>
      <c r="H82" s="10"/>
    </row>
    <row r="83" spans="1:8" ht="13">
      <c r="A83" s="27"/>
      <c r="B83" s="10"/>
      <c r="C83" s="10"/>
      <c r="D83" s="10"/>
      <c r="E83" s="10"/>
      <c r="F83" s="10"/>
      <c r="G83" s="10"/>
      <c r="H83" s="10"/>
    </row>
    <row r="84" spans="1:8" ht="12.5">
      <c r="A84" s="371" t="s">
        <v>86</v>
      </c>
      <c r="B84" s="365"/>
      <c r="C84" s="365"/>
      <c r="D84" s="365"/>
      <c r="E84" s="365"/>
      <c r="F84" s="365"/>
      <c r="G84" s="365"/>
      <c r="H84" s="365"/>
    </row>
    <row r="85" spans="1:8" ht="12.5">
      <c r="A85" s="371" t="s">
        <v>87</v>
      </c>
      <c r="B85" s="365"/>
      <c r="C85" s="365"/>
      <c r="D85" s="365"/>
      <c r="E85" s="365"/>
      <c r="F85" s="365"/>
      <c r="G85" s="365"/>
      <c r="H85" s="365"/>
    </row>
    <row r="86" spans="1:8" ht="12.5">
      <c r="A86" s="371" t="s">
        <v>88</v>
      </c>
      <c r="B86" s="365"/>
      <c r="C86" s="365"/>
      <c r="D86" s="365"/>
      <c r="E86" s="365"/>
      <c r="F86" s="365"/>
      <c r="G86" s="365"/>
      <c r="H86" s="365"/>
    </row>
  </sheetData>
  <mergeCells count="79">
    <mergeCell ref="B8:D8"/>
    <mergeCell ref="B9:D9"/>
    <mergeCell ref="B10:D10"/>
    <mergeCell ref="B11:G11"/>
    <mergeCell ref="A1:A14"/>
    <mergeCell ref="B1:H1"/>
    <mergeCell ref="B2:H2"/>
    <mergeCell ref="B3:C3"/>
    <mergeCell ref="B4:E4"/>
    <mergeCell ref="B5:C5"/>
    <mergeCell ref="B7:E7"/>
    <mergeCell ref="B13:G13"/>
    <mergeCell ref="B14:F14"/>
    <mergeCell ref="A16:A18"/>
    <mergeCell ref="B16:F16"/>
    <mergeCell ref="B17:D17"/>
    <mergeCell ref="B18:G18"/>
    <mergeCell ref="B53:H53"/>
    <mergeCell ref="B35:H35"/>
    <mergeCell ref="B38:H38"/>
    <mergeCell ref="B46:H46"/>
    <mergeCell ref="B47:H47"/>
    <mergeCell ref="E48:H48"/>
    <mergeCell ref="B49:H49"/>
    <mergeCell ref="B39:H39"/>
    <mergeCell ref="A41:A51"/>
    <mergeCell ref="B41:H41"/>
    <mergeCell ref="B42:H42"/>
    <mergeCell ref="B43:H43"/>
    <mergeCell ref="A55:A56"/>
    <mergeCell ref="C55:H55"/>
    <mergeCell ref="C56:H56"/>
    <mergeCell ref="B24:E24"/>
    <mergeCell ref="B25:E25"/>
    <mergeCell ref="A20:A25"/>
    <mergeCell ref="B20:E20"/>
    <mergeCell ref="B21:E21"/>
    <mergeCell ref="F21:H21"/>
    <mergeCell ref="B22:E22"/>
    <mergeCell ref="B23:E23"/>
    <mergeCell ref="B27:G27"/>
    <mergeCell ref="B29:H29"/>
    <mergeCell ref="B30:H30"/>
    <mergeCell ref="B32:H32"/>
    <mergeCell ref="B34:H34"/>
    <mergeCell ref="A59:A62"/>
    <mergeCell ref="B68:C68"/>
    <mergeCell ref="B71:C71"/>
    <mergeCell ref="A75:A81"/>
    <mergeCell ref="D71:H71"/>
    <mergeCell ref="B72:C72"/>
    <mergeCell ref="D72:H72"/>
    <mergeCell ref="C62:H62"/>
    <mergeCell ref="B64:H64"/>
    <mergeCell ref="B66:H66"/>
    <mergeCell ref="A68:A73"/>
    <mergeCell ref="D68:H68"/>
    <mergeCell ref="D69:H69"/>
    <mergeCell ref="D70:H70"/>
    <mergeCell ref="B70:C70"/>
    <mergeCell ref="C59:H59"/>
    <mergeCell ref="A84:H84"/>
    <mergeCell ref="A85:H85"/>
    <mergeCell ref="A86:H86"/>
    <mergeCell ref="D73:H73"/>
    <mergeCell ref="B75:H75"/>
    <mergeCell ref="B76:H76"/>
    <mergeCell ref="B77:H77"/>
    <mergeCell ref="B78:H78"/>
    <mergeCell ref="B80:H80"/>
    <mergeCell ref="B81:H81"/>
    <mergeCell ref="C60:H60"/>
    <mergeCell ref="C61:H61"/>
    <mergeCell ref="B69:C69"/>
    <mergeCell ref="B44:H44"/>
    <mergeCell ref="B45:H45"/>
    <mergeCell ref="B50:H50"/>
    <mergeCell ref="B51:H51"/>
    <mergeCell ref="B57:H57"/>
  </mergeCells>
  <hyperlinks>
    <hyperlink ref="D5" r:id="rId1" xr:uid="{00000000-0004-0000-0000-000000000000}"/>
    <hyperlink ref="B8" r:id="rId2" xr:uid="{00000000-0004-0000-0000-000001000000}"/>
    <hyperlink ref="B10" r:id="rId3" xr:uid="{00000000-0004-0000-0000-000002000000}"/>
    <hyperlink ref="B11" r:id="rId4" xr:uid="{00000000-0004-0000-0000-000003000000}"/>
    <hyperlink ref="B13" r:id="rId5" xr:uid="{00000000-0004-0000-0000-000004000000}"/>
    <hyperlink ref="G14" r:id="rId6" xr:uid="{00000000-0004-0000-0000-000005000000}"/>
    <hyperlink ref="B20" r:id="rId7" xr:uid="{00000000-0004-0000-0000-000006000000}"/>
    <hyperlink ref="B21" r:id="rId8" xr:uid="{00000000-0004-0000-0000-000007000000}"/>
    <hyperlink ref="B22" r:id="rId9" xr:uid="{00000000-0004-0000-0000-000008000000}"/>
    <hyperlink ref="B23" r:id="rId10" xr:uid="{00000000-0004-0000-0000-000009000000}"/>
    <hyperlink ref="B24" r:id="rId11" xr:uid="{00000000-0004-0000-0000-00000A000000}"/>
    <hyperlink ref="B25" r:id="rId12" xr:uid="{00000000-0004-0000-0000-00000B000000}"/>
    <hyperlink ref="A27" r:id="rId13" xr:uid="{00000000-0004-0000-0000-00000C000000}"/>
    <hyperlink ref="B72" r:id="rId14" xr:uid="{00000000-0004-0000-0000-00000D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85"/>
  <sheetViews>
    <sheetView workbookViewId="0"/>
  </sheetViews>
  <sheetFormatPr defaultColWidth="15.1796875" defaultRowHeight="15.75" customHeight="1"/>
  <cols>
    <col min="1" max="1" width="146.453125" customWidth="1"/>
  </cols>
  <sheetData>
    <row r="1" spans="1:1" ht="15.75" customHeight="1">
      <c r="A1" s="29" t="s">
        <v>89</v>
      </c>
    </row>
    <row r="2" spans="1:1" ht="15.75" customHeight="1">
      <c r="A2" s="12" t="s">
        <v>90</v>
      </c>
    </row>
    <row r="4" spans="1:1" ht="15.75" customHeight="1">
      <c r="A4" s="30" t="s">
        <v>91</v>
      </c>
    </row>
    <row r="5" spans="1:1" ht="15.75" customHeight="1">
      <c r="A5" s="10" t="s">
        <v>92</v>
      </c>
    </row>
    <row r="6" spans="1:1" ht="15.75" customHeight="1">
      <c r="A6" s="30" t="s">
        <v>93</v>
      </c>
    </row>
    <row r="7" spans="1:1" ht="15.75" customHeight="1">
      <c r="A7" s="12" t="s">
        <v>94</v>
      </c>
    </row>
    <row r="9" spans="1:1" ht="15.75" customHeight="1">
      <c r="A9" s="29" t="s">
        <v>95</v>
      </c>
    </row>
    <row r="10" spans="1:1" ht="15.75" customHeight="1">
      <c r="A10" s="31" t="s">
        <v>96</v>
      </c>
    </row>
    <row r="12" spans="1:1" ht="15.75" customHeight="1">
      <c r="A12" s="29" t="s">
        <v>97</v>
      </c>
    </row>
    <row r="13" spans="1:1" ht="15.75" customHeight="1">
      <c r="A13" s="12" t="s">
        <v>98</v>
      </c>
    </row>
    <row r="15" spans="1:1" ht="15.75" customHeight="1">
      <c r="A15" s="29" t="s">
        <v>99</v>
      </c>
    </row>
    <row r="16" spans="1:1" ht="15.75" customHeight="1">
      <c r="A16" s="12" t="s">
        <v>100</v>
      </c>
    </row>
    <row r="18" spans="1:1" ht="15.75" customHeight="1">
      <c r="A18" s="29" t="s">
        <v>101</v>
      </c>
    </row>
    <row r="19" spans="1:1" ht="15.75" customHeight="1">
      <c r="A19" s="12" t="s">
        <v>102</v>
      </c>
    </row>
    <row r="21" spans="1:1" ht="15.75" customHeight="1">
      <c r="A21" s="29" t="s">
        <v>103</v>
      </c>
    </row>
    <row r="22" spans="1:1" ht="15.75" customHeight="1">
      <c r="A22" s="12" t="s">
        <v>104</v>
      </c>
    </row>
    <row r="24" spans="1:1" ht="15.75" customHeight="1">
      <c r="A24" s="29" t="s">
        <v>105</v>
      </c>
    </row>
    <row r="25" spans="1:1" ht="15.75" customHeight="1">
      <c r="A25" s="12" t="s">
        <v>106</v>
      </c>
    </row>
    <row r="27" spans="1:1" ht="15.75" customHeight="1">
      <c r="A27" s="30" t="s">
        <v>107</v>
      </c>
    </row>
    <row r="28" spans="1:1" ht="15.75" customHeight="1">
      <c r="A28" s="10" t="s">
        <v>108</v>
      </c>
    </row>
    <row r="29" spans="1:1" ht="15.75" customHeight="1">
      <c r="A29" s="10"/>
    </row>
    <row r="30" spans="1:1" ht="15.75" customHeight="1">
      <c r="A30" s="30" t="s">
        <v>109</v>
      </c>
    </row>
    <row r="31" spans="1:1" ht="15.75" customHeight="1">
      <c r="A31" s="12" t="s">
        <v>110</v>
      </c>
    </row>
    <row r="33" spans="1:1" ht="15.75" customHeight="1">
      <c r="A33" s="30" t="s">
        <v>111</v>
      </c>
    </row>
    <row r="34" spans="1:1" ht="15.75" customHeight="1">
      <c r="A34" s="12" t="s">
        <v>112</v>
      </c>
    </row>
    <row r="36" spans="1:1" ht="15.75" customHeight="1">
      <c r="A36" s="12" t="s">
        <v>113</v>
      </c>
    </row>
    <row r="38" spans="1:1" ht="13">
      <c r="A38" s="30" t="s">
        <v>114</v>
      </c>
    </row>
    <row r="39" spans="1:1" ht="100">
      <c r="A39" s="12" t="s">
        <v>115</v>
      </c>
    </row>
    <row r="41" spans="1:1" ht="13">
      <c r="A41" s="30" t="s">
        <v>116</v>
      </c>
    </row>
    <row r="42" spans="1:1" ht="75">
      <c r="A42" s="12" t="s">
        <v>117</v>
      </c>
    </row>
    <row r="45" spans="1:1" ht="13">
      <c r="A45" s="30" t="s">
        <v>118</v>
      </c>
    </row>
    <row r="46" spans="1:1" ht="175">
      <c r="A46" s="12" t="s">
        <v>119</v>
      </c>
    </row>
    <row r="48" spans="1:1" ht="13">
      <c r="A48" s="30" t="s">
        <v>120</v>
      </c>
    </row>
    <row r="49" spans="1:1" ht="112.5">
      <c r="A49" s="12" t="s">
        <v>121</v>
      </c>
    </row>
    <row r="51" spans="1:1" ht="13">
      <c r="A51" s="30" t="s">
        <v>122</v>
      </c>
    </row>
    <row r="52" spans="1:1" ht="87.5">
      <c r="A52" s="12" t="s">
        <v>123</v>
      </c>
    </row>
    <row r="54" spans="1:1" ht="13">
      <c r="A54" s="30" t="s">
        <v>124</v>
      </c>
    </row>
    <row r="55" spans="1:1" ht="12.5">
      <c r="A55" s="12" t="s">
        <v>125</v>
      </c>
    </row>
    <row r="57" spans="1:1" ht="13">
      <c r="A57" s="30" t="s">
        <v>126</v>
      </c>
    </row>
    <row r="58" spans="1:1" ht="50">
      <c r="A58" s="12" t="s">
        <v>127</v>
      </c>
    </row>
    <row r="60" spans="1:1" ht="13">
      <c r="A60" s="30" t="s">
        <v>128</v>
      </c>
    </row>
    <row r="61" spans="1:1" ht="12.5">
      <c r="A61" s="12" t="s">
        <v>129</v>
      </c>
    </row>
    <row r="63" spans="1:1" ht="13">
      <c r="A63" s="30" t="s">
        <v>130</v>
      </c>
    </row>
    <row r="64" spans="1:1" ht="12.5">
      <c r="A64" s="31" t="s">
        <v>131</v>
      </c>
    </row>
    <row r="66" spans="1:1" ht="13">
      <c r="A66" s="30" t="s">
        <v>132</v>
      </c>
    </row>
    <row r="67" spans="1:1" ht="25">
      <c r="A67" s="12" t="s">
        <v>133</v>
      </c>
    </row>
    <row r="69" spans="1:1" ht="12.5">
      <c r="A69" s="30" t="s">
        <v>134</v>
      </c>
    </row>
    <row r="70" spans="1:1" ht="187.5">
      <c r="A70" s="12" t="s">
        <v>135</v>
      </c>
    </row>
    <row r="72" spans="1:1" ht="12.5">
      <c r="A72" s="30" t="s">
        <v>136</v>
      </c>
    </row>
    <row r="73" spans="1:1" ht="12.5">
      <c r="A73" s="31" t="s">
        <v>137</v>
      </c>
    </row>
    <row r="75" spans="1:1" ht="12.5">
      <c r="A75" s="30" t="s">
        <v>138</v>
      </c>
    </row>
    <row r="76" spans="1:1" ht="12.5">
      <c r="A76" s="31" t="s">
        <v>139</v>
      </c>
    </row>
    <row r="78" spans="1:1" ht="12.5">
      <c r="A78" s="30" t="s">
        <v>140</v>
      </c>
    </row>
    <row r="79" spans="1:1" ht="37.5">
      <c r="A79" s="12" t="s">
        <v>141</v>
      </c>
    </row>
    <row r="81" spans="1:1" ht="12.5">
      <c r="A81" s="30" t="s">
        <v>142</v>
      </c>
    </row>
    <row r="82" spans="1:1" ht="12.5">
      <c r="A82" s="12" t="s">
        <v>143</v>
      </c>
    </row>
    <row r="84" spans="1:1" ht="12.5">
      <c r="A84" s="30" t="s">
        <v>144</v>
      </c>
    </row>
    <row r="85" spans="1:1" ht="12.5">
      <c r="A85" s="12" t="s">
        <v>145</v>
      </c>
    </row>
  </sheetData>
  <hyperlinks>
    <hyperlink ref="A10" r:id="rId1" xr:uid="{00000000-0004-0000-0100-000000000000}"/>
    <hyperlink ref="A64" r:id="rId2" xr:uid="{00000000-0004-0000-0100-000001000000}"/>
    <hyperlink ref="A73" r:id="rId3" xr:uid="{00000000-0004-0000-0100-000002000000}"/>
    <hyperlink ref="A76" r:id="rId4" xr:uid="{00000000-0004-0000-0100-000003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M250"/>
  <sheetViews>
    <sheetView tabSelected="1" zoomScale="90" zoomScaleNormal="100" workbookViewId="0">
      <pane ySplit="2" topLeftCell="A23" activePane="bottomLeft" state="frozen"/>
      <selection pane="bottomLeft" activeCell="F38" sqref="F38"/>
    </sheetView>
  </sheetViews>
  <sheetFormatPr defaultColWidth="15.1796875" defaultRowHeight="25" customHeight="1"/>
  <cols>
    <col min="1" max="1" width="11.7265625" customWidth="1"/>
    <col min="2" max="2" width="13.453125" customWidth="1"/>
    <col min="3" max="3" width="6" customWidth="1"/>
    <col min="4" max="4" width="7.1796875" customWidth="1"/>
    <col min="5" max="5" width="7.453125" customWidth="1"/>
    <col min="6" max="6" width="7.54296875" customWidth="1"/>
    <col min="7" max="7" width="8.7265625" customWidth="1"/>
    <col min="8" max="9" width="7.453125" customWidth="1"/>
    <col min="10" max="12" width="8.7265625" customWidth="1"/>
    <col min="13" max="13" width="65.453125" customWidth="1"/>
  </cols>
  <sheetData>
    <row r="1" spans="1:13" ht="25" customHeight="1">
      <c r="A1" s="32" t="s">
        <v>146</v>
      </c>
      <c r="B1" s="33" t="s">
        <v>147</v>
      </c>
      <c r="C1" s="32" t="s">
        <v>148</v>
      </c>
      <c r="D1" s="32" t="s">
        <v>149</v>
      </c>
      <c r="E1" s="32" t="s">
        <v>150</v>
      </c>
      <c r="F1" s="32" t="s">
        <v>151</v>
      </c>
      <c r="G1" s="32" t="s">
        <v>152</v>
      </c>
      <c r="H1" s="32" t="s">
        <v>153</v>
      </c>
      <c r="I1" s="32" t="s">
        <v>154</v>
      </c>
      <c r="J1" s="32" t="s">
        <v>155</v>
      </c>
      <c r="K1" s="32" t="s">
        <v>156</v>
      </c>
      <c r="L1" s="32" t="s">
        <v>157</v>
      </c>
      <c r="M1" s="34" t="s">
        <v>158</v>
      </c>
    </row>
    <row r="2" spans="1:13" ht="25" customHeight="1">
      <c r="A2" s="35"/>
      <c r="B2" s="36" t="s">
        <v>159</v>
      </c>
      <c r="C2" s="37">
        <f>COUNTIF(C3:C10520, "AC")</f>
        <v>22</v>
      </c>
      <c r="D2" s="37" t="e">
        <f ca="1">ROUND(SUMPRODUCT(D3:D10520,INT(EQ(C3:C10520, "AC")))/MAX(1, C2),1)</f>
        <v>#NAME?</v>
      </c>
      <c r="E2" s="37" t="e">
        <f ca="1">ROUND(SUMPRODUCT(E3:E10542,INT(EQ(C3:C10542, "AC")))/MAX(1, C2),0)</f>
        <v>#NAME?</v>
      </c>
      <c r="F2" s="37" t="e">
        <f ca="1">ROUND(SUMPRODUCT(F3:F10545,INT(EQ(C3:C10545, "AC")))/MAX(1, C2),0)</f>
        <v>#NAME?</v>
      </c>
      <c r="G2" s="37" t="e">
        <f ca="1">ROUND(SUMPRODUCT(G3:G10545,INT(EQ(C3:C10545, "AC")))/MAX(1, C2),0)</f>
        <v>#NAME?</v>
      </c>
      <c r="H2" s="37" t="e">
        <f ca="1">ROUND(SUMPRODUCT(H3:H10545,INT(EQ(C3:C10545, "AC")))/MAX(1, C2),0)</f>
        <v>#NAME?</v>
      </c>
      <c r="I2" s="37" t="e">
        <f ca="1">ROUND(SUMPRODUCT(I3:I10517,INT(EQ(C3:C10517, "AC")))/MAX(1, C2),0)</f>
        <v>#NAME?</v>
      </c>
      <c r="J2" s="37" t="e">
        <f ca="1">ROUND(SUMPRODUCT(J3:J10515,INT(EQ(C3:C10515, "AC")))/MAX(1, C2),1)</f>
        <v>#NAME?</v>
      </c>
      <c r="K2" s="37" t="e">
        <f ca="1">SUMPRODUCT(EQ(K3:K10520, "YES"),INT(EQ(C3:C10545, "AC")))</f>
        <v>#NAME?</v>
      </c>
      <c r="L2" s="38">
        <f ca="1">IFERROR(__xludf.DUMMYFUNCTION("COUNTA(FILTER(C3:C10012, NOT(REGEXMATCH(C3:C10012, ""AC""))))"),2)</f>
        <v>2</v>
      </c>
      <c r="M2" s="39">
        <f ca="1">IFERROR(__xludf.DUMMYFUNCTION("COUNTA(FILTER(C3:C10006, NOT(REGEXMATCH(C3:C10006, ""AC""))))"),2)</f>
        <v>2</v>
      </c>
    </row>
    <row r="3" spans="1:13" ht="25" customHeight="1">
      <c r="A3" s="40" t="s">
        <v>160</v>
      </c>
      <c r="B3" s="41" t="s">
        <v>161</v>
      </c>
      <c r="C3" s="32" t="s">
        <v>162</v>
      </c>
      <c r="D3" s="36">
        <v>5</v>
      </c>
      <c r="E3" s="36">
        <v>4</v>
      </c>
      <c r="F3" s="36">
        <v>8</v>
      </c>
      <c r="G3" s="36">
        <v>6</v>
      </c>
      <c r="H3" s="36">
        <v>32</v>
      </c>
      <c r="I3" s="36">
        <f t="shared" ref="I3:I29" si="0">SUM(E3:H3)</f>
        <v>50</v>
      </c>
      <c r="J3" s="36">
        <v>2</v>
      </c>
      <c r="K3" s="36" t="s">
        <v>163</v>
      </c>
      <c r="L3" s="36" t="s">
        <v>164</v>
      </c>
      <c r="M3" s="42" t="s">
        <v>165</v>
      </c>
    </row>
    <row r="4" spans="1:13" ht="25" customHeight="1">
      <c r="A4" s="40" t="s">
        <v>166</v>
      </c>
      <c r="B4" s="41" t="s">
        <v>167</v>
      </c>
      <c r="C4" s="32" t="s">
        <v>162</v>
      </c>
      <c r="D4" s="36">
        <v>1</v>
      </c>
      <c r="E4" s="36">
        <v>5</v>
      </c>
      <c r="F4" s="36">
        <v>10</v>
      </c>
      <c r="G4" s="36">
        <v>35</v>
      </c>
      <c r="H4" s="36">
        <v>20</v>
      </c>
      <c r="I4" s="36">
        <f t="shared" si="0"/>
        <v>70</v>
      </c>
      <c r="J4" s="36">
        <v>2</v>
      </c>
      <c r="K4" s="36" t="s">
        <v>168</v>
      </c>
      <c r="L4" s="36" t="s">
        <v>169</v>
      </c>
      <c r="M4" s="43" t="s">
        <v>170</v>
      </c>
    </row>
    <row r="5" spans="1:13" ht="25" customHeight="1">
      <c r="A5" s="40" t="s">
        <v>171</v>
      </c>
      <c r="B5" s="41" t="s">
        <v>172</v>
      </c>
      <c r="C5" s="32" t="s">
        <v>162</v>
      </c>
      <c r="D5" s="36">
        <v>1</v>
      </c>
      <c r="E5" s="36">
        <v>5</v>
      </c>
      <c r="F5" s="36">
        <v>20</v>
      </c>
      <c r="G5" s="36">
        <v>4</v>
      </c>
      <c r="H5" s="36">
        <v>1</v>
      </c>
      <c r="I5" s="36">
        <f t="shared" si="0"/>
        <v>30</v>
      </c>
      <c r="J5" s="36">
        <v>2</v>
      </c>
      <c r="K5" s="36" t="s">
        <v>163</v>
      </c>
      <c r="L5" s="36" t="s">
        <v>173</v>
      </c>
      <c r="M5" s="43" t="s">
        <v>174</v>
      </c>
    </row>
    <row r="6" spans="1:13" ht="25" customHeight="1">
      <c r="A6" s="40" t="s">
        <v>175</v>
      </c>
      <c r="B6" s="41" t="s">
        <v>176</v>
      </c>
      <c r="C6" s="44" t="s">
        <v>177</v>
      </c>
      <c r="D6" s="36">
        <v>5</v>
      </c>
      <c r="E6" s="36">
        <v>4</v>
      </c>
      <c r="F6" s="36">
        <v>25</v>
      </c>
      <c r="G6" s="36">
        <v>20</v>
      </c>
      <c r="H6" s="36">
        <v>2</v>
      </c>
      <c r="I6" s="36">
        <f t="shared" si="0"/>
        <v>51</v>
      </c>
      <c r="J6" s="36">
        <v>7</v>
      </c>
      <c r="K6" s="36" t="s">
        <v>178</v>
      </c>
      <c r="L6" s="36" t="s">
        <v>164</v>
      </c>
      <c r="M6" s="43" t="s">
        <v>179</v>
      </c>
    </row>
    <row r="7" spans="1:13" ht="25" customHeight="1">
      <c r="A7" s="40" t="s">
        <v>180</v>
      </c>
      <c r="B7" s="41" t="s">
        <v>181</v>
      </c>
      <c r="C7" s="45" t="s">
        <v>182</v>
      </c>
      <c r="D7" s="36">
        <v>6</v>
      </c>
      <c r="E7" s="36">
        <v>5</v>
      </c>
      <c r="F7" s="36">
        <v>30</v>
      </c>
      <c r="G7" s="36">
        <v>25</v>
      </c>
      <c r="H7" s="36">
        <v>31</v>
      </c>
      <c r="I7" s="36">
        <f t="shared" si="0"/>
        <v>91</v>
      </c>
      <c r="J7" s="36">
        <v>9</v>
      </c>
      <c r="K7" s="36"/>
      <c r="L7" s="36"/>
      <c r="M7" s="40" t="s">
        <v>183</v>
      </c>
    </row>
    <row r="8" spans="1:13" ht="25" customHeight="1">
      <c r="A8" s="341"/>
      <c r="B8" s="342"/>
      <c r="C8" s="343"/>
      <c r="D8" s="343"/>
      <c r="E8" s="343"/>
      <c r="F8" s="343"/>
      <c r="G8" s="343"/>
      <c r="H8" s="343"/>
      <c r="I8" s="343">
        <f t="shared" si="0"/>
        <v>0</v>
      </c>
      <c r="J8" s="343"/>
      <c r="K8" s="343"/>
      <c r="L8" s="343"/>
      <c r="M8" s="344"/>
    </row>
    <row r="9" spans="1:13" ht="25" customHeight="1">
      <c r="A9" s="341"/>
      <c r="B9" s="342"/>
      <c r="C9" s="343"/>
      <c r="D9" s="343"/>
      <c r="E9" s="343"/>
      <c r="F9" s="343"/>
      <c r="G9" s="343"/>
      <c r="H9" s="343"/>
      <c r="I9" s="343">
        <f t="shared" si="0"/>
        <v>0</v>
      </c>
      <c r="J9" s="343"/>
      <c r="K9" s="343"/>
      <c r="L9" s="343"/>
      <c r="M9" s="345" t="str">
        <f>HYPERLINK("https://www.youtube.com/watch?v=fd0Ebfa_mJ0","Watch - Approaching Problem Statement ")</f>
        <v xml:space="preserve">Watch - Approaching Problem Statement </v>
      </c>
    </row>
    <row r="10" spans="1:13" ht="25" customHeight="1">
      <c r="A10" s="341"/>
      <c r="B10" s="342"/>
      <c r="C10" s="343"/>
      <c r="D10" s="343"/>
      <c r="E10" s="343"/>
      <c r="F10" s="343"/>
      <c r="G10" s="343"/>
      <c r="H10" s="343"/>
      <c r="I10" s="343">
        <f t="shared" si="0"/>
        <v>0</v>
      </c>
      <c r="J10" s="343"/>
      <c r="K10" s="343"/>
      <c r="L10" s="343"/>
      <c r="M10" s="345" t="str">
        <f>HYPERLINK("https://www.youtube.com/watch?v=olcmPKZNqnM","Watch - Thinking - On papers Not on PC ")</f>
        <v xml:space="preserve">Watch - Thinking - On papers Not on PC </v>
      </c>
    </row>
    <row r="11" spans="1:13" ht="25" customHeight="1">
      <c r="A11" s="341" t="s">
        <v>184</v>
      </c>
      <c r="B11" s="346" t="str">
        <f>HYPERLINK("http://codeforces.com/contest/677/problem/A","CF677-D2-A")</f>
        <v>CF677-D2-A</v>
      </c>
      <c r="C11" s="343" t="s">
        <v>162</v>
      </c>
      <c r="D11" s="359">
        <v>4.1666666666666664E-2</v>
      </c>
      <c r="E11" s="359">
        <v>0.10069444444444445</v>
      </c>
      <c r="F11" s="359">
        <v>2.7777777777777776E-2</v>
      </c>
      <c r="G11" s="343">
        <v>5</v>
      </c>
      <c r="H11" s="359">
        <v>0.15902777777777777</v>
      </c>
      <c r="I11" s="343">
        <f t="shared" si="0"/>
        <v>5.2874999999999996</v>
      </c>
      <c r="J11" s="343"/>
      <c r="K11" s="343" t="s">
        <v>163</v>
      </c>
      <c r="L11" s="347" t="s">
        <v>185</v>
      </c>
      <c r="M11" s="348" t="str">
        <f>HYPERLINK("http://codeforces.com/contest/677/submission/18185361","C++ Solution Example")</f>
        <v>C++ Solution Example</v>
      </c>
    </row>
    <row r="12" spans="1:13" ht="25" customHeight="1">
      <c r="A12" s="341" t="s">
        <v>186</v>
      </c>
      <c r="B12" s="346" t="str">
        <f>HYPERLINK("http://codeforces.com/contest/734/problem/A","CF734-D2-A")</f>
        <v>CF734-D2-A</v>
      </c>
      <c r="C12" s="343" t="s">
        <v>162</v>
      </c>
      <c r="D12" s="343">
        <v>2</v>
      </c>
      <c r="E12" s="359">
        <v>2.9166666666666667E-2</v>
      </c>
      <c r="F12" s="359">
        <v>5.1388888888888887E-2</v>
      </c>
      <c r="G12" s="359">
        <v>0.12916666666666668</v>
      </c>
      <c r="H12" s="343">
        <v>1</v>
      </c>
      <c r="I12" s="343">
        <f t="shared" si="0"/>
        <v>1.2097222222222221</v>
      </c>
      <c r="J12" s="343"/>
      <c r="K12" s="343" t="s">
        <v>163</v>
      </c>
      <c r="L12" s="347" t="s">
        <v>185</v>
      </c>
      <c r="M12" s="344" t="s">
        <v>1854</v>
      </c>
    </row>
    <row r="13" spans="1:13" ht="25" customHeight="1">
      <c r="A13" s="341"/>
      <c r="B13" s="350"/>
      <c r="C13" s="343"/>
      <c r="D13" s="343"/>
      <c r="E13" s="343"/>
      <c r="F13" s="343"/>
      <c r="G13" s="343"/>
      <c r="H13" s="343"/>
      <c r="I13" s="343">
        <f t="shared" si="0"/>
        <v>0</v>
      </c>
      <c r="J13" s="343"/>
      <c r="K13" s="343"/>
      <c r="L13" s="343"/>
      <c r="M13" s="351" t="s">
        <v>187</v>
      </c>
    </row>
    <row r="14" spans="1:13" ht="25" customHeight="1">
      <c r="A14" s="341"/>
      <c r="B14" s="350"/>
      <c r="C14" s="343"/>
      <c r="D14" s="343"/>
      <c r="E14" s="343"/>
      <c r="F14" s="343"/>
      <c r="G14" s="343"/>
      <c r="H14" s="343"/>
      <c r="I14" s="343">
        <f t="shared" si="0"/>
        <v>0</v>
      </c>
      <c r="J14" s="343"/>
      <c r="K14" s="343"/>
      <c r="L14" s="343"/>
      <c r="M14" s="352" t="s">
        <v>188</v>
      </c>
    </row>
    <row r="15" spans="1:13" ht="25" customHeight="1">
      <c r="A15" s="341"/>
      <c r="B15" s="350"/>
      <c r="C15" s="343"/>
      <c r="D15" s="343"/>
      <c r="E15" s="343"/>
      <c r="F15" s="343"/>
      <c r="G15" s="343"/>
      <c r="H15" s="343"/>
      <c r="I15" s="343">
        <f t="shared" si="0"/>
        <v>0</v>
      </c>
      <c r="J15" s="343"/>
      <c r="K15" s="343"/>
      <c r="L15" s="343"/>
      <c r="M15" s="352"/>
    </row>
    <row r="16" spans="1:13" ht="25" customHeight="1">
      <c r="A16" s="341" t="s">
        <v>189</v>
      </c>
      <c r="B16" s="346" t="str">
        <f>HYPERLINK("codeforces.com/contest/791/problem/A","CF791-D2-A")</f>
        <v>CF791-D2-A</v>
      </c>
      <c r="C16" s="343" t="s">
        <v>162</v>
      </c>
      <c r="D16" s="414"/>
      <c r="E16" s="359">
        <v>0.1</v>
      </c>
      <c r="F16" s="359">
        <v>3.888888888888889E-2</v>
      </c>
      <c r="G16" s="359">
        <v>0.16388888888888889</v>
      </c>
      <c r="H16" s="359">
        <v>0.18124999999999999</v>
      </c>
      <c r="I16" s="343">
        <f t="shared" si="0"/>
        <v>0.48402777777777783</v>
      </c>
      <c r="J16" s="343"/>
      <c r="K16" s="343"/>
      <c r="L16" s="343"/>
      <c r="M16" s="353" t="str">
        <f>HYPERLINK("https://www.youtube.com/watch?v=t05qYeiWGGc","Video Solution - Eng Youssef El Ghareeb")</f>
        <v>Video Solution - Eng Youssef El Ghareeb</v>
      </c>
    </row>
    <row r="17" spans="1:13" ht="25" customHeight="1">
      <c r="A17" s="341" t="s">
        <v>190</v>
      </c>
      <c r="B17" s="346" t="str">
        <f>HYPERLINK("http://codeforces.com/contest/231/problem/A","CF231-D2-A")</f>
        <v>CF231-D2-A</v>
      </c>
      <c r="C17" s="343" t="s">
        <v>162</v>
      </c>
      <c r="D17" s="343">
        <v>1</v>
      </c>
      <c r="E17" s="359">
        <v>4.8611111111111112E-2</v>
      </c>
      <c r="F17" s="359">
        <v>8.6805555555555552E-2</v>
      </c>
      <c r="G17" s="359">
        <v>8.0555555555555561E-2</v>
      </c>
      <c r="H17" s="343">
        <v>0</v>
      </c>
      <c r="I17" s="343">
        <f t="shared" si="0"/>
        <v>0.21597222222222223</v>
      </c>
      <c r="J17" s="343"/>
      <c r="K17" s="343"/>
      <c r="L17" s="343"/>
      <c r="M17" s="353" t="str">
        <f>HYPERLINK("https://www.youtube.com/watch?v=P73Mv_GG_PY","Video Solution - Eng Youssef Ali")</f>
        <v>Video Solution - Eng Youssef Ali</v>
      </c>
    </row>
    <row r="18" spans="1:13" ht="25" customHeight="1">
      <c r="A18" s="341" t="s">
        <v>191</v>
      </c>
      <c r="B18" s="346" t="str">
        <f>HYPERLINK("http://codeforces.com/contest/263/problem/A","CF263-D2-A")</f>
        <v>CF263-D2-A</v>
      </c>
      <c r="C18" s="343" t="s">
        <v>162</v>
      </c>
      <c r="D18" s="343">
        <v>1</v>
      </c>
      <c r="E18" s="359">
        <v>7.9166666666666663E-2</v>
      </c>
      <c r="F18" s="359">
        <v>4.2361111111111113E-2</v>
      </c>
      <c r="G18" s="359">
        <v>0.65833333333333333</v>
      </c>
      <c r="H18" s="343">
        <v>0</v>
      </c>
      <c r="I18" s="343">
        <f t="shared" si="0"/>
        <v>0.77986111111111112</v>
      </c>
      <c r="J18" s="343"/>
      <c r="K18" s="343" t="s">
        <v>168</v>
      </c>
      <c r="L18" s="343"/>
      <c r="M18" s="341" t="s">
        <v>1859</v>
      </c>
    </row>
    <row r="19" spans="1:13" ht="25" customHeight="1">
      <c r="A19" s="344" t="s">
        <v>192</v>
      </c>
      <c r="B19" s="354" t="str">
        <f>HYPERLINK("http://codeforces.com/contest/405/problem/A","CF405-D2-A")</f>
        <v>CF405-D2-A</v>
      </c>
      <c r="C19" s="343" t="s">
        <v>162</v>
      </c>
      <c r="D19" s="343">
        <v>1</v>
      </c>
      <c r="E19" s="359">
        <v>0.11319444444444444</v>
      </c>
      <c r="F19" s="359">
        <v>0.2722222222222222</v>
      </c>
      <c r="G19" s="359">
        <v>0.15972222222222221</v>
      </c>
      <c r="H19" s="343">
        <v>0</v>
      </c>
      <c r="I19" s="343">
        <f t="shared" si="0"/>
        <v>0.54513888888888884</v>
      </c>
      <c r="J19" s="355"/>
      <c r="K19" s="343"/>
      <c r="L19" s="355"/>
      <c r="M19" s="356" t="str">
        <f>HYPERLINK("https://www.youtube.com/watch?v=HNe9QW-1MJI","Video Solution - Eng John Gamal")</f>
        <v>Video Solution - Eng John Gamal</v>
      </c>
    </row>
    <row r="20" spans="1:13" ht="25" customHeight="1">
      <c r="A20" s="344" t="s">
        <v>193</v>
      </c>
      <c r="B20" s="354" t="str">
        <f>HYPERLINK("http://codeforces.com/contest/112/problem/A","CF112-D2-A")</f>
        <v>CF112-D2-A</v>
      </c>
      <c r="C20" s="343" t="s">
        <v>162</v>
      </c>
      <c r="D20" s="343">
        <v>2</v>
      </c>
      <c r="E20" s="359">
        <v>0.16319444444444445</v>
      </c>
      <c r="F20" s="359">
        <v>0.16805555555555557</v>
      </c>
      <c r="G20" s="359">
        <v>0.33263888888888887</v>
      </c>
      <c r="H20" s="359">
        <v>0.83333333333333337</v>
      </c>
      <c r="I20" s="343">
        <f t="shared" si="0"/>
        <v>1.4972222222222222</v>
      </c>
      <c r="J20" s="355"/>
      <c r="K20" s="343" t="s">
        <v>168</v>
      </c>
      <c r="L20" s="355"/>
      <c r="M20" s="360" t="s">
        <v>1860</v>
      </c>
    </row>
    <row r="21" spans="1:13" ht="25" customHeight="1">
      <c r="A21" s="344" t="s">
        <v>194</v>
      </c>
      <c r="B21" s="354" t="str">
        <f>HYPERLINK("http://codeforces.com/contest/236/problem/A","CF236-D2-A")</f>
        <v>CF236-D2-A</v>
      </c>
      <c r="C21" s="343" t="s">
        <v>162</v>
      </c>
      <c r="D21" s="343">
        <v>1</v>
      </c>
      <c r="E21" s="359">
        <v>0.1</v>
      </c>
      <c r="F21" s="359">
        <v>7.6388888888888895E-2</v>
      </c>
      <c r="G21" s="359">
        <v>0.19722222222222222</v>
      </c>
      <c r="H21" s="343">
        <v>0</v>
      </c>
      <c r="I21" s="343">
        <f t="shared" si="0"/>
        <v>0.37361111111111112</v>
      </c>
      <c r="J21" s="355"/>
      <c r="K21" s="343"/>
      <c r="L21" s="355"/>
      <c r="M21" s="349" t="str">
        <f>HYPERLINK("https://www.youtube.com/watch?v=AOOmuJXMyHQ","Video Solution - Solver to be (Java)")</f>
        <v>Video Solution - Solver to be (Java)</v>
      </c>
    </row>
    <row r="22" spans="1:13" ht="25" customHeight="1">
      <c r="A22" s="357" t="s">
        <v>195</v>
      </c>
      <c r="B22" s="358" t="str">
        <f>HYPERLINK("http://codeforces.com/contest/59/problem/A","CF59-D2-A")</f>
        <v>CF59-D2-A</v>
      </c>
      <c r="C22" s="343" t="s">
        <v>162</v>
      </c>
      <c r="D22" s="343">
        <v>1</v>
      </c>
      <c r="E22" s="359">
        <v>5.6250000000000001E-2</v>
      </c>
      <c r="F22" s="359">
        <v>8.3333333333333329E-2</v>
      </c>
      <c r="G22" s="359">
        <v>0.27430555555555558</v>
      </c>
      <c r="H22" s="343">
        <v>0</v>
      </c>
      <c r="I22" s="343">
        <f t="shared" si="0"/>
        <v>0.41388888888888892</v>
      </c>
      <c r="J22" s="355"/>
      <c r="K22" s="343"/>
      <c r="L22" s="355"/>
      <c r="M22" s="349" t="str">
        <f>HYPERLINK("https://www.youtube.com/watch?v=gW8YOQbMdDI","Video Solution - Solver to be (Java)")</f>
        <v>Video Solution - Solver to be (Java)</v>
      </c>
    </row>
    <row r="23" spans="1:13" ht="25" customHeight="1">
      <c r="A23" s="344" t="s">
        <v>196</v>
      </c>
      <c r="B23" s="354" t="str">
        <f>HYPERLINK("http://codeforces.com/contest/344/problem/A","CF344-D2-A")</f>
        <v>CF344-D2-A</v>
      </c>
      <c r="C23" s="343" t="s">
        <v>162</v>
      </c>
      <c r="D23" s="343">
        <v>1</v>
      </c>
      <c r="E23" s="359">
        <v>0.15416666666666667</v>
      </c>
      <c r="F23" s="359">
        <v>0.12708333333333333</v>
      </c>
      <c r="G23" s="359">
        <v>8.9583333333333334E-2</v>
      </c>
      <c r="H23" s="343">
        <v>0</v>
      </c>
      <c r="I23" s="343">
        <f t="shared" si="0"/>
        <v>0.37083333333333335</v>
      </c>
      <c r="J23" s="355"/>
      <c r="K23" s="343"/>
      <c r="L23" s="355"/>
      <c r="M23" s="356" t="str">
        <f>HYPERLINK("https://www.youtube.com/watch?v=7o7lZTKFzp0","Video Solution - Solver to be (Java)")</f>
        <v>Video Solution - Solver to be (Java)</v>
      </c>
    </row>
    <row r="24" spans="1:13" ht="25" customHeight="1">
      <c r="A24" s="344" t="s">
        <v>197</v>
      </c>
      <c r="B24" s="354" t="str">
        <f>HYPERLINK("http://codeforces.com/contest/381/problem/A","CF381-D2-A")</f>
        <v>CF381-D2-A</v>
      </c>
      <c r="C24" s="343" t="s">
        <v>177</v>
      </c>
      <c r="D24" s="343">
        <v>2</v>
      </c>
      <c r="E24" s="359">
        <v>8.1944444444444445E-2</v>
      </c>
      <c r="F24" s="359">
        <v>0.35694444444444445</v>
      </c>
      <c r="G24" s="359">
        <v>0.1875</v>
      </c>
      <c r="H24" s="359">
        <v>0.83333333333333337</v>
      </c>
      <c r="I24" s="343">
        <f t="shared" si="0"/>
        <v>1.4597222222222221</v>
      </c>
      <c r="J24" s="355"/>
      <c r="K24" s="343" t="s">
        <v>168</v>
      </c>
      <c r="L24" s="355"/>
      <c r="M24" s="344" t="s">
        <v>1856</v>
      </c>
    </row>
    <row r="25" spans="1:13" ht="25" customHeight="1">
      <c r="A25" s="341" t="s">
        <v>198</v>
      </c>
      <c r="B25" s="346" t="str">
        <f>HYPERLINK("http://codeforces.com/contest/266/problem/A","CF266-D2-A")</f>
        <v>CF266-D2-A</v>
      </c>
      <c r="C25" s="343" t="s">
        <v>162</v>
      </c>
      <c r="D25" s="343">
        <v>1</v>
      </c>
      <c r="E25" s="359">
        <v>0.14166666666666666</v>
      </c>
      <c r="F25" s="359">
        <v>7.1527777777777773E-2</v>
      </c>
      <c r="G25" s="359">
        <v>0.125</v>
      </c>
      <c r="H25" s="343">
        <v>0</v>
      </c>
      <c r="I25" s="343">
        <f t="shared" si="0"/>
        <v>0.33819444444444446</v>
      </c>
      <c r="J25" s="343"/>
      <c r="K25" s="343"/>
      <c r="L25" s="343"/>
      <c r="M25" s="353" t="str">
        <f>HYPERLINK("https://www.youtube.com/watch?v=3akdDnmPwOY&amp;feature=youtu.be","Video Solution - Eng Ahmead Raafat (Python)")</f>
        <v>Video Solution - Eng Ahmead Raafat (Python)</v>
      </c>
    </row>
    <row r="26" spans="1:13" ht="25" customHeight="1">
      <c r="A26" s="341" t="s">
        <v>199</v>
      </c>
      <c r="B26" s="346" t="str">
        <f>HYPERLINK("http://codeforces.com/contest/427/problem/A","CF427-D2-A")</f>
        <v>CF427-D2-A</v>
      </c>
      <c r="C26" s="343" t="s">
        <v>162</v>
      </c>
      <c r="D26" s="343">
        <v>1</v>
      </c>
      <c r="E26" s="359">
        <v>0.23333333333333334</v>
      </c>
      <c r="F26" s="359">
        <v>0.24583333333333332</v>
      </c>
      <c r="G26" s="359">
        <v>0.34652777777777777</v>
      </c>
      <c r="H26" s="343">
        <v>0</v>
      </c>
      <c r="I26" s="343">
        <f t="shared" si="0"/>
        <v>0.8256944444444444</v>
      </c>
      <c r="J26" s="343"/>
      <c r="K26" s="343"/>
      <c r="L26" s="343"/>
      <c r="M26" s="353" t="str">
        <f>HYPERLINK("https://www.youtube.com/watch?v=PECOLs3YWR0&amp;feature=youtu.be","Video Solution - Eng Ahmead Raafat (Python)")</f>
        <v>Video Solution - Eng Ahmead Raafat (Python)</v>
      </c>
    </row>
    <row r="27" spans="1:13" ht="25" customHeight="1">
      <c r="A27" s="352" t="s">
        <v>200</v>
      </c>
      <c r="B27" s="346" t="str">
        <f>HYPERLINK("http://codeforces.com/contest/431/problem/A","CF431-D2-A")</f>
        <v>CF431-D2-A</v>
      </c>
      <c r="C27" s="343" t="s">
        <v>177</v>
      </c>
      <c r="D27" s="343">
        <v>1</v>
      </c>
      <c r="E27" s="359">
        <v>0.375</v>
      </c>
      <c r="F27" s="359">
        <v>0.125</v>
      </c>
      <c r="G27" s="359">
        <v>0.56736111111111109</v>
      </c>
      <c r="H27" s="343" t="s">
        <v>1855</v>
      </c>
      <c r="I27" s="343">
        <f t="shared" si="0"/>
        <v>1.067361111111111</v>
      </c>
      <c r="J27" s="343"/>
      <c r="K27" s="343" t="s">
        <v>168</v>
      </c>
      <c r="L27" s="343"/>
      <c r="M27" s="352" t="s">
        <v>1857</v>
      </c>
    </row>
    <row r="28" spans="1:13" ht="25" customHeight="1">
      <c r="A28" s="352" t="s">
        <v>201</v>
      </c>
      <c r="B28" s="346" t="str">
        <f>HYPERLINK("http://codeforces.com/contest/731/problem/A","CF731-D2-A")</f>
        <v>CF731-D2-A</v>
      </c>
      <c r="C28" s="343" t="s">
        <v>177</v>
      </c>
      <c r="D28" s="343">
        <v>1</v>
      </c>
      <c r="E28" s="359">
        <v>0.19305555555555556</v>
      </c>
      <c r="F28" s="359" t="s">
        <v>1855</v>
      </c>
      <c r="G28" s="359">
        <v>0.20833333333333334</v>
      </c>
      <c r="H28" s="343">
        <v>0</v>
      </c>
      <c r="I28" s="343">
        <f t="shared" si="0"/>
        <v>0.40138888888888891</v>
      </c>
      <c r="J28" s="343"/>
      <c r="K28" s="343" t="s">
        <v>168</v>
      </c>
      <c r="L28" s="343"/>
      <c r="M28" s="352" t="s">
        <v>1858</v>
      </c>
    </row>
    <row r="29" spans="1:13" ht="25" customHeight="1">
      <c r="A29" s="352" t="s">
        <v>202</v>
      </c>
      <c r="B29" s="346" t="str">
        <f>HYPERLINK("http://codeforces.com/contest/268/problem/A","CF268-D2-A")</f>
        <v>CF268-D2-A</v>
      </c>
      <c r="C29" s="343" t="s">
        <v>162</v>
      </c>
      <c r="D29" s="343">
        <v>1</v>
      </c>
      <c r="E29" s="359">
        <v>0.14930555555555555</v>
      </c>
      <c r="F29" s="359">
        <v>0.17986111111111111</v>
      </c>
      <c r="G29" s="359">
        <v>0.37361111111111112</v>
      </c>
      <c r="H29" s="343">
        <v>0</v>
      </c>
      <c r="I29" s="343">
        <f t="shared" si="0"/>
        <v>0.70277777777777772</v>
      </c>
      <c r="J29" s="343"/>
      <c r="K29" s="343"/>
      <c r="L29" s="343"/>
      <c r="M29" s="353" t="str">
        <f>HYPERLINK("https://www.youtube.com/watch?v=lFt2GuQtmSs","Video Solution - Eng Yahia Ashraf")</f>
        <v>Video Solution - Eng Yahia Ashraf</v>
      </c>
    </row>
    <row r="30" spans="1:13" ht="25" customHeight="1">
      <c r="A30" s="40"/>
      <c r="B30" s="41"/>
      <c r="C30" s="36"/>
      <c r="D30" s="36"/>
      <c r="E30" s="36"/>
      <c r="F30" s="36"/>
      <c r="G30" s="36"/>
      <c r="H30" s="36"/>
      <c r="I30" s="36"/>
      <c r="J30" s="36"/>
      <c r="K30" s="36"/>
      <c r="L30" s="36"/>
      <c r="M30" s="47"/>
    </row>
    <row r="31" spans="1:13" ht="25" customHeight="1">
      <c r="A31" s="40"/>
      <c r="B31" s="41"/>
      <c r="C31" s="36"/>
      <c r="D31" s="36"/>
      <c r="E31" s="36"/>
      <c r="F31" s="36"/>
      <c r="G31" s="36"/>
      <c r="H31" s="36"/>
      <c r="I31" s="36">
        <f t="shared" ref="I31:I44" si="1">SUM(E31:H31)</f>
        <v>0</v>
      </c>
      <c r="J31" s="36"/>
      <c r="K31" s="36"/>
      <c r="L31" s="36"/>
      <c r="M31" s="48" t="str">
        <f>HYPERLINK("https://www.youtube.com/watch?v=Syx2qDjj7TE","Watch - Elementary Math - Introduction")</f>
        <v>Watch - Elementary Math - Introduction</v>
      </c>
    </row>
    <row r="32" spans="1:13" ht="25" customHeight="1">
      <c r="A32" s="56" t="s">
        <v>203</v>
      </c>
      <c r="B32" s="57" t="str">
        <f>HYPERLINK("http://codeforces.com/contest/732/problem/A","CF732-D2-A")</f>
        <v>CF732-D2-A</v>
      </c>
      <c r="C32" s="10" t="s">
        <v>162</v>
      </c>
      <c r="D32" s="36">
        <v>1</v>
      </c>
      <c r="E32" s="415">
        <v>7.3495370370370372E-3</v>
      </c>
      <c r="F32" s="415">
        <v>1.068287037037037E-2</v>
      </c>
      <c r="G32" s="415">
        <v>6.9444444444444441E-3</v>
      </c>
      <c r="H32" s="10"/>
      <c r="I32" s="36">
        <f t="shared" si="1"/>
        <v>2.4976851851851851E-2</v>
      </c>
      <c r="J32" s="10"/>
      <c r="K32" s="10"/>
      <c r="L32" s="10"/>
      <c r="M32" s="58" t="str">
        <f>HYPERLINK("https://www.youtube.com/watch?v=jKOSPuoplz0","Video Solution - Eng Yahia Ashraf")</f>
        <v>Video Solution - Eng Yahia Ashraf</v>
      </c>
    </row>
    <row r="33" spans="1:13" ht="25" customHeight="1">
      <c r="A33" s="56" t="s">
        <v>204</v>
      </c>
      <c r="B33" s="57" t="str">
        <f>HYPERLINK("http://codeforces.com/contest/228/problem/A","CF228-D2-A")</f>
        <v>CF228-D2-A</v>
      </c>
      <c r="C33" s="10" t="s">
        <v>162</v>
      </c>
      <c r="D33" s="36">
        <v>1</v>
      </c>
      <c r="E33" s="416">
        <v>0.10347222222222222</v>
      </c>
      <c r="F33" s="416">
        <v>8.2638888888888887E-2</v>
      </c>
      <c r="G33" s="416">
        <v>0.15138888888888888</v>
      </c>
      <c r="H33" s="10"/>
      <c r="I33" s="36">
        <f t="shared" si="1"/>
        <v>0.33750000000000002</v>
      </c>
      <c r="J33" s="10"/>
      <c r="K33" s="10"/>
      <c r="L33" s="10"/>
      <c r="M33" s="58" t="str">
        <f>HYPERLINK("https://www.youtube.com/watch?v=O0zvnXeQis4&amp;app=desktop#_=_","Video Solution - Eng Ahmead Raafat (Python)")</f>
        <v>Video Solution - Eng Ahmead Raafat (Python)</v>
      </c>
    </row>
    <row r="34" spans="1:13" ht="25" customHeight="1">
      <c r="A34" s="56" t="s">
        <v>205</v>
      </c>
      <c r="B34" s="57" t="str">
        <f>HYPERLINK("http://codeforces.com/contest/265/problem/A","CF265-D2-A")</f>
        <v>CF265-D2-A</v>
      </c>
      <c r="C34" s="10" t="s">
        <v>162</v>
      </c>
      <c r="D34" s="36">
        <v>1</v>
      </c>
      <c r="E34" s="416">
        <v>0.15486111111111112</v>
      </c>
      <c r="F34" s="416">
        <v>0.16111111111111112</v>
      </c>
      <c r="G34" s="416">
        <v>0.20833333333333334</v>
      </c>
      <c r="H34" s="10"/>
      <c r="I34" s="36">
        <f t="shared" si="1"/>
        <v>0.52430555555555558</v>
      </c>
      <c r="J34" s="10"/>
      <c r="K34" s="10"/>
      <c r="L34" s="10"/>
      <c r="M34" s="58" t="str">
        <f>HYPERLINK("https://www.youtube.com/watch?v=ol_mjArjBCk","Video Solution - Eng Ahmead Raafat (Python)")</f>
        <v>Video Solution - Eng Ahmead Raafat (Python)</v>
      </c>
    </row>
    <row r="35" spans="1:13" ht="25" customHeight="1">
      <c r="A35" s="60" t="s">
        <v>206</v>
      </c>
      <c r="B35" s="66" t="str">
        <f>HYPERLINK("http://codeforces.com/contest/9/problem/A","CF9-D2-A")</f>
        <v>CF9-D2-A</v>
      </c>
      <c r="C35" s="36" t="s">
        <v>162</v>
      </c>
      <c r="D35" s="36">
        <v>1</v>
      </c>
      <c r="E35" s="417">
        <v>0.16597222222222222</v>
      </c>
      <c r="F35" s="417">
        <v>0.32222222222222224</v>
      </c>
      <c r="G35" s="417">
        <v>8.3333333333333329E-2</v>
      </c>
      <c r="H35" s="36"/>
      <c r="I35" s="36">
        <f t="shared" si="1"/>
        <v>0.57152777777777786</v>
      </c>
      <c r="J35" s="67"/>
      <c r="K35" s="36"/>
      <c r="L35" s="10"/>
      <c r="M35" s="58" t="str">
        <f>HYPERLINK("https://www.youtube.com/watch?v=5T1yiz9-jZo","Video Solution - Eng Muntaser Abukadeja")</f>
        <v>Video Solution - Eng Muntaser Abukadeja</v>
      </c>
    </row>
    <row r="36" spans="1:13" ht="25" customHeight="1">
      <c r="A36" s="60" t="s">
        <v>207</v>
      </c>
      <c r="B36" s="68" t="str">
        <f>HYPERLINK("http://codeforces.com/contest/294/problem/A","CF294-D2-A")</f>
        <v>CF294-D2-A</v>
      </c>
      <c r="C36" s="36" t="s">
        <v>162</v>
      </c>
      <c r="D36" s="36">
        <v>1</v>
      </c>
      <c r="E36" s="417">
        <v>0.45555555555555555</v>
      </c>
      <c r="F36" s="417">
        <v>0.22847222222222222</v>
      </c>
      <c r="G36" s="418">
        <v>1.1381944444444445</v>
      </c>
      <c r="H36" s="36"/>
      <c r="I36" s="36">
        <f t="shared" si="1"/>
        <v>1.8222222222222224</v>
      </c>
      <c r="J36" s="67"/>
      <c r="K36" s="36" t="s">
        <v>1861</v>
      </c>
      <c r="L36" s="10"/>
      <c r="M36" s="419" t="s">
        <v>1862</v>
      </c>
    </row>
    <row r="37" spans="1:13" ht="25" customHeight="1">
      <c r="A37" s="56" t="s">
        <v>208</v>
      </c>
      <c r="B37" s="63" t="str">
        <f>HYPERLINK("http://codeforces.com/contest/709/problem/A","CF709-D2-A")</f>
        <v>CF709-D2-A</v>
      </c>
      <c r="C37" s="36" t="s">
        <v>162</v>
      </c>
      <c r="D37" s="36">
        <v>1</v>
      </c>
      <c r="E37" s="417">
        <v>9.2361111111111116E-2</v>
      </c>
      <c r="F37" s="417">
        <v>0.20833333333333334</v>
      </c>
      <c r="G37" s="417">
        <v>0.36736111111111114</v>
      </c>
      <c r="H37" s="36"/>
      <c r="I37" s="36">
        <f t="shared" si="1"/>
        <v>0.66805555555555562</v>
      </c>
      <c r="J37" s="67"/>
      <c r="K37" s="36"/>
      <c r="L37" s="10"/>
      <c r="M37" s="64" t="str">
        <f>HYPERLINK("https://www.youtube.com/watch?v=fPcKGZ_e8G0","Video Solution - Solver to be (Java)")</f>
        <v>Video Solution - Solver to be (Java)</v>
      </c>
    </row>
    <row r="38" spans="1:13" ht="25" customHeight="1">
      <c r="A38" s="60" t="s">
        <v>209</v>
      </c>
      <c r="B38" s="69" t="str">
        <f>HYPERLINK("http://codeforces.com/contest/799/problem/A","CF799-D2-A")</f>
        <v>CF799-D2-A</v>
      </c>
      <c r="C38" s="36"/>
      <c r="D38" s="36"/>
      <c r="E38" s="36"/>
      <c r="F38" s="36"/>
      <c r="G38" s="36"/>
      <c r="H38" s="36"/>
      <c r="I38" s="36">
        <f t="shared" si="1"/>
        <v>0</v>
      </c>
      <c r="J38" s="67"/>
      <c r="K38" s="36"/>
      <c r="L38" s="10"/>
      <c r="M38" s="64" t="str">
        <f>HYPERLINK("https://www.youtube.com/watch?v=uyEL9f8pxlM","Video Solution - Solver to be (Java)")</f>
        <v>Video Solution - Solver to be (Java)</v>
      </c>
    </row>
    <row r="39" spans="1:13" ht="25" customHeight="1">
      <c r="A39" s="60" t="s">
        <v>210</v>
      </c>
      <c r="B39" s="66" t="str">
        <f>HYPERLINK("http://codeforces.com/contest/443/problem/A","CF443-D2-A")</f>
        <v>CF443-D2-A</v>
      </c>
      <c r="C39" s="36"/>
      <c r="D39" s="36"/>
      <c r="E39" s="36"/>
      <c r="F39" s="36"/>
      <c r="G39" s="36"/>
      <c r="H39" s="36"/>
      <c r="I39" s="36">
        <f t="shared" si="1"/>
        <v>0</v>
      </c>
      <c r="J39" s="67"/>
      <c r="K39" s="36"/>
      <c r="L39" s="10"/>
      <c r="M39" s="62" t="str">
        <f>HYPERLINK("https://www.youtube.com/watch?v=YXuljSnZaTY","Video Solution - Solver to be (Java)")</f>
        <v>Video Solution - Solver to be (Java)</v>
      </c>
    </row>
    <row r="40" spans="1:13" ht="25" customHeight="1">
      <c r="A40" s="56" t="s">
        <v>211</v>
      </c>
      <c r="B40" s="57" t="str">
        <f>HYPERLINK("http://codeforces.com/contest/71/problem/A","CF71-D2-A")</f>
        <v>CF71-D2-A</v>
      </c>
      <c r="C40" s="36"/>
      <c r="D40" s="36"/>
      <c r="E40" s="36"/>
      <c r="F40" s="36"/>
      <c r="G40" s="36"/>
      <c r="H40" s="36"/>
      <c r="I40" s="36">
        <f t="shared" si="1"/>
        <v>0</v>
      </c>
      <c r="J40" s="67"/>
      <c r="K40" s="36"/>
      <c r="L40" s="10"/>
      <c r="M40" s="59" t="str">
        <f>HYPERLINK("https://www.youtube.com/watch?v=yuebR81LyXE","Video Solution - Solver to be (Java)")</f>
        <v>Video Solution - Solver to be (Java)</v>
      </c>
    </row>
    <row r="41" spans="1:13" ht="25" customHeight="1">
      <c r="A41" s="56" t="s">
        <v>212</v>
      </c>
      <c r="B41" s="57" t="str">
        <f>HYPERLINK("http://codeforces.com/contest/686/problem/A","CF686-D2-A")</f>
        <v>CF686-D2-A</v>
      </c>
      <c r="C41" s="36"/>
      <c r="D41" s="36"/>
      <c r="E41" s="36"/>
      <c r="F41" s="36"/>
      <c r="G41" s="36"/>
      <c r="H41" s="36"/>
      <c r="I41" s="36">
        <f t="shared" si="1"/>
        <v>0</v>
      </c>
      <c r="J41" s="67"/>
      <c r="K41" s="36"/>
      <c r="L41" s="10"/>
      <c r="M41" s="59" t="str">
        <f>HYPERLINK("https://www.youtube.com/watch?v=Alipj6tJKKI","Video Solution - Solver to be (Java)")</f>
        <v>Video Solution - Solver to be (Java)</v>
      </c>
    </row>
    <row r="42" spans="1:13" ht="25" customHeight="1">
      <c r="A42" s="60" t="s">
        <v>213</v>
      </c>
      <c r="B42" s="61" t="str">
        <f>HYPERLINK("http://codeforces.com/contest/339/problem/A","CF339-D2-A")</f>
        <v>CF339-D2-A</v>
      </c>
      <c r="C42" s="36"/>
      <c r="D42" s="36"/>
      <c r="E42" s="36"/>
      <c r="F42" s="36"/>
      <c r="G42" s="36"/>
      <c r="H42" s="36"/>
      <c r="I42" s="36">
        <f t="shared" si="1"/>
        <v>0</v>
      </c>
      <c r="J42" s="67"/>
      <c r="K42" s="36"/>
      <c r="L42" s="10"/>
      <c r="M42" s="59" t="str">
        <f>HYPERLINK("https://www.youtube.com/watch?v=NLsyJpkFMz4","Video Solution - Solver to be (Java)")</f>
        <v>Video Solution - Solver to be (Java)</v>
      </c>
    </row>
    <row r="43" spans="1:13" ht="25" customHeight="1">
      <c r="A43" s="56" t="s">
        <v>214</v>
      </c>
      <c r="B43" s="63" t="str">
        <f>HYPERLINK("http://codeforces.com/contest/490/problem/A","CF490-D2-A")</f>
        <v>CF490-D2-A</v>
      </c>
      <c r="C43" s="67"/>
      <c r="D43" s="67"/>
      <c r="E43" s="67"/>
      <c r="F43" s="67"/>
      <c r="G43" s="67"/>
      <c r="H43" s="67"/>
      <c r="I43" s="36">
        <f t="shared" si="1"/>
        <v>0</v>
      </c>
      <c r="J43" s="67"/>
      <c r="K43" s="36"/>
      <c r="L43" s="10"/>
      <c r="M43" s="70" t="str">
        <f>HYPERLINK("https://www.youtube.com/watch?v=2jJA1PCOrgg","Video Solution - Eng Muntaser Abukadeja")</f>
        <v>Video Solution - Eng Muntaser Abukadeja</v>
      </c>
    </row>
    <row r="44" spans="1:13" ht="25" customHeight="1">
      <c r="A44" s="60" t="s">
        <v>215</v>
      </c>
      <c r="B44" s="71" t="str">
        <f>HYPERLINK("http://codeforces.com/contest/770/problem/A","CF770-D2-A")</f>
        <v>CF770-D2-A</v>
      </c>
      <c r="C44" s="36"/>
      <c r="D44" s="36"/>
      <c r="E44" s="36"/>
      <c r="F44" s="36"/>
      <c r="G44" s="36"/>
      <c r="H44" s="36"/>
      <c r="I44" s="36">
        <f t="shared" si="1"/>
        <v>0</v>
      </c>
      <c r="J44" s="67"/>
      <c r="K44" s="36"/>
      <c r="L44" s="10"/>
      <c r="M44" s="72"/>
    </row>
    <row r="45" spans="1:13" ht="25" customHeight="1">
      <c r="A45" s="10"/>
      <c r="B45" s="10"/>
      <c r="C45" s="36"/>
      <c r="D45" s="36"/>
      <c r="E45" s="36"/>
      <c r="F45" s="36"/>
      <c r="G45" s="36"/>
      <c r="H45" s="36"/>
      <c r="I45" s="36"/>
      <c r="J45" s="10"/>
      <c r="K45" s="36"/>
      <c r="L45" s="10"/>
      <c r="M45" s="72"/>
    </row>
    <row r="46" spans="1:13" ht="25" customHeight="1">
      <c r="A46" s="10"/>
      <c r="B46" s="10"/>
      <c r="C46" s="36"/>
      <c r="D46" s="36"/>
      <c r="E46" s="36"/>
      <c r="F46" s="36"/>
      <c r="G46" s="36"/>
      <c r="H46" s="36"/>
      <c r="I46" s="36">
        <f>SUM(E46:H46)</f>
        <v>0</v>
      </c>
      <c r="J46" s="10"/>
      <c r="K46" s="36"/>
      <c r="L46" s="10"/>
      <c r="M46" s="72" t="str">
        <f>HYPERLINK("https://www.youtube.com/watch?v=9sqvjnvuLtY","Watch - Number Theory - Modular Arithmatic")</f>
        <v>Watch - Number Theory - Modular Arithmatic</v>
      </c>
    </row>
    <row r="47" spans="1:13" ht="25" customHeight="1">
      <c r="A47" s="10"/>
      <c r="B47" s="10"/>
      <c r="C47" s="36"/>
      <c r="D47" s="36"/>
      <c r="E47" s="36"/>
      <c r="F47" s="36"/>
      <c r="G47" s="36"/>
      <c r="H47" s="36"/>
      <c r="I47" s="36">
        <f>SUM(E47:H47)</f>
        <v>0</v>
      </c>
      <c r="J47" s="10"/>
      <c r="K47" s="36"/>
      <c r="L47" s="10"/>
      <c r="M47" s="72" t="str">
        <f>HYPERLINK("https://www.youtube.com/watch?v=sr6WgCLcgVM","Watch - Combinatorics - Counting Principles")</f>
        <v>Watch - Combinatorics - Counting Principles</v>
      </c>
    </row>
    <row r="48" spans="1:13" ht="25" customHeight="1">
      <c r="A48" s="10"/>
      <c r="B48" s="10"/>
      <c r="C48" s="36"/>
      <c r="D48" s="36"/>
      <c r="E48" s="36"/>
      <c r="F48" s="36"/>
      <c r="G48" s="36"/>
      <c r="H48" s="36"/>
      <c r="I48" s="36"/>
      <c r="J48" s="10"/>
      <c r="K48" s="36"/>
      <c r="L48" s="10"/>
      <c r="M48" s="73" t="s">
        <v>216</v>
      </c>
    </row>
    <row r="49" spans="1:13" ht="25" customHeight="1">
      <c r="A49" s="74" t="s">
        <v>217</v>
      </c>
      <c r="B49" s="75" t="str">
        <f>HYPERLINK("https://uva.onlinejudge.org/index.php?option=com_onlinejudge&amp;Itemid=8&amp;page=show_problem&amp;problem=1051","UVA 10110")</f>
        <v>UVA 10110</v>
      </c>
      <c r="C49" s="36"/>
      <c r="D49" s="36"/>
      <c r="E49" s="36"/>
      <c r="F49" s="36"/>
      <c r="G49" s="36"/>
      <c r="H49" s="36"/>
      <c r="I49" s="36">
        <f t="shared" ref="I49:I120" si="2">SUM(E49:H49)</f>
        <v>0</v>
      </c>
      <c r="J49" s="10"/>
      <c r="K49" s="36"/>
      <c r="L49" s="10"/>
      <c r="M49" s="76" t="str">
        <f>HYPERLINK("https://www.youtube.com/watch?v=6unjJwXC5gI&amp;feature=youtu.be","Video Solution - Eng Amr Saud")</f>
        <v>Video Solution - Eng Amr Saud</v>
      </c>
    </row>
    <row r="50" spans="1:13" ht="25" customHeight="1">
      <c r="A50" s="74" t="s">
        <v>218</v>
      </c>
      <c r="B50" s="75" t="str">
        <f>HYPERLINK("https://uva.onlinejudge.org/index.php?option=com_onlinejudge&amp;Itemid=8&amp;page=show_problem&amp;problem=1047","UVA 10106")</f>
        <v>UVA 10106</v>
      </c>
      <c r="C50" s="36"/>
      <c r="D50" s="36"/>
      <c r="E50" s="36"/>
      <c r="F50" s="36"/>
      <c r="G50" s="36"/>
      <c r="H50" s="36"/>
      <c r="I50" s="36">
        <f t="shared" si="2"/>
        <v>0</v>
      </c>
      <c r="J50" s="10"/>
      <c r="K50" s="36"/>
      <c r="L50" s="10"/>
      <c r="M50" s="76" t="str">
        <f>HYPERLINK("https://www.youtube.com/watch?v=KNd6eqRpWqE","Video Solution - Eng Youssef El Ghareeb. Don't solve using big integer")</f>
        <v>Video Solution - Eng Youssef El Ghareeb. Don't solve using big integer</v>
      </c>
    </row>
    <row r="51" spans="1:13" ht="25" customHeight="1">
      <c r="A51" s="74" t="s">
        <v>219</v>
      </c>
      <c r="B51" s="75" t="str">
        <f>HYPERLINK("https://uva.onlinejudge.org/index.php?option=onlinejudge&amp;page=show_problem&amp;problem=349","UVA 408")</f>
        <v>UVA 408</v>
      </c>
      <c r="C51" s="36"/>
      <c r="D51" s="36"/>
      <c r="E51" s="36"/>
      <c r="F51" s="36"/>
      <c r="G51" s="36"/>
      <c r="H51" s="36"/>
      <c r="I51" s="36">
        <f t="shared" si="2"/>
        <v>0</v>
      </c>
      <c r="J51" s="10"/>
      <c r="K51" s="36"/>
      <c r="L51" s="10"/>
      <c r="M51" s="54" t="str">
        <f>HYPERLINK("https://www.youtube.com/watch?v=VmL4PQIZ-6c","Video Solution - Eng Yahia Ashraf")</f>
        <v>Video Solution - Eng Yahia Ashraf</v>
      </c>
    </row>
    <row r="52" spans="1:13" ht="25" customHeight="1">
      <c r="A52" s="74" t="s">
        <v>220</v>
      </c>
      <c r="B52" s="75" t="str">
        <f>HYPERLINK("https://uva.onlinejudge.org/index.php?option=onlinejudge&amp;page=show_problem&amp;problem=2172","UVA 11231")</f>
        <v>UVA 11231</v>
      </c>
      <c r="C52" s="36"/>
      <c r="D52" s="36"/>
      <c r="E52" s="36"/>
      <c r="F52" s="36"/>
      <c r="G52" s="36"/>
      <c r="H52" s="36"/>
      <c r="I52" s="36">
        <f t="shared" si="2"/>
        <v>0</v>
      </c>
      <c r="J52" s="10"/>
      <c r="K52" s="36"/>
      <c r="L52" s="10"/>
      <c r="M52" s="76" t="str">
        <f>HYPERLINK("https://www.youtube.com/watch?v=UNUD8qp33ic&amp;feature=youtu.be","Video Solution - Eng Amr Saud")</f>
        <v>Video Solution - Eng Amr Saud</v>
      </c>
    </row>
    <row r="53" spans="1:13" ht="25" customHeight="1">
      <c r="A53" s="74"/>
      <c r="B53" s="77" t="str">
        <f>HYPERLINK("https://www.spoj.com/problems/EASYMATH/","SPOJ EASYMATH")</f>
        <v>SPOJ EASYMATH</v>
      </c>
      <c r="C53" s="36"/>
      <c r="D53" s="36"/>
      <c r="E53" s="36"/>
      <c r="F53" s="36"/>
      <c r="G53" s="36"/>
      <c r="H53" s="36"/>
      <c r="I53" s="36">
        <f t="shared" si="2"/>
        <v>0</v>
      </c>
      <c r="J53" s="10"/>
      <c r="K53" s="36"/>
      <c r="L53" s="10"/>
      <c r="M53" s="78" t="str">
        <f>HYPERLINK("https://github.com/Emsawy/CompetitiveProgramming/blob/master/SPOJ/EASYMATH.cpp","Sol")</f>
        <v>Sol</v>
      </c>
    </row>
    <row r="54" spans="1:13" ht="25" customHeight="1">
      <c r="A54" s="79" t="s">
        <v>221</v>
      </c>
      <c r="B54" s="80" t="str">
        <f>HYPERLINK("https://uva.onlinejudge.org/index.php?option=onlinejudge&amp;page=show_problem&amp;problem=3300","UVA 12148")</f>
        <v>UVA 12148</v>
      </c>
      <c r="C54" s="36"/>
      <c r="D54" s="36"/>
      <c r="E54" s="36"/>
      <c r="F54" s="36"/>
      <c r="G54" s="36"/>
      <c r="H54" s="36"/>
      <c r="I54" s="81">
        <f t="shared" si="2"/>
        <v>0</v>
      </c>
      <c r="J54" s="10"/>
      <c r="K54" s="36"/>
      <c r="L54" s="10"/>
      <c r="M54" s="78" t="str">
        <f>HYPERLINK("https://github.com/juanplopes/icpc/blob/master/uva/12148.cpp","Learn Calender Leap Year")</f>
        <v>Learn Calender Leap Year</v>
      </c>
    </row>
    <row r="55" spans="1:13" ht="25" customHeight="1">
      <c r="A55" s="60"/>
      <c r="B55" s="71"/>
      <c r="C55" s="36"/>
      <c r="D55" s="36"/>
      <c r="E55" s="36"/>
      <c r="F55" s="36"/>
      <c r="G55" s="36"/>
      <c r="H55" s="36"/>
      <c r="I55" s="36">
        <f t="shared" si="2"/>
        <v>0</v>
      </c>
      <c r="J55" s="10"/>
      <c r="K55" s="36"/>
      <c r="L55" s="10"/>
      <c r="M55" s="56"/>
    </row>
    <row r="56" spans="1:13" ht="25" customHeight="1">
      <c r="A56" s="56" t="s">
        <v>222</v>
      </c>
      <c r="B56" s="57" t="str">
        <f>HYPERLINK("http://codeforces.com/contest/136/problem/A","CF136-D2-A")</f>
        <v>CF136-D2-A</v>
      </c>
      <c r="C56" s="10"/>
      <c r="D56" s="10"/>
      <c r="E56" s="10"/>
      <c r="F56" s="10"/>
      <c r="G56" s="10"/>
      <c r="H56" s="67"/>
      <c r="I56" s="36">
        <f t="shared" si="2"/>
        <v>0</v>
      </c>
      <c r="J56" s="10"/>
      <c r="K56" s="36"/>
      <c r="L56" s="10"/>
      <c r="M56" s="82" t="str">
        <f>HYPERLINK("https://www.youtube.com/watch?v=MduaJDmo7RU","Video Solution - Eng Ahmed Rafaat (Python)")</f>
        <v>Video Solution - Eng Ahmed Rafaat (Python)</v>
      </c>
    </row>
    <row r="57" spans="1:13" ht="25" customHeight="1">
      <c r="A57" s="56" t="s">
        <v>223</v>
      </c>
      <c r="B57" s="63" t="str">
        <f>HYPERLINK("http://codeforces.com/contest/567/problem/A","CF567-D2-A")</f>
        <v>CF567-D2-A</v>
      </c>
      <c r="C57" s="10"/>
      <c r="D57" s="10"/>
      <c r="E57" s="10"/>
      <c r="F57" s="10"/>
      <c r="G57" s="10"/>
      <c r="H57" s="67"/>
      <c r="I57" s="36">
        <f t="shared" si="2"/>
        <v>0</v>
      </c>
      <c r="J57" s="10"/>
      <c r="K57" s="36"/>
      <c r="L57" s="10"/>
      <c r="M57" s="82" t="str">
        <f>HYPERLINK("https://www.youtube.com/watch?v=gc4BEAw0pbs&amp;feature=youtu.be","Video Solution - Eng Ahmed Rafaat (Python)")</f>
        <v>Video Solution - Eng Ahmed Rafaat (Python)</v>
      </c>
    </row>
    <row r="58" spans="1:13" ht="25" customHeight="1">
      <c r="A58" s="60" t="s">
        <v>224</v>
      </c>
      <c r="B58" s="71" t="str">
        <f>HYPERLINK("http://codeforces.com/contest/766/problem/A","CF766-D2-A")</f>
        <v>CF766-D2-A</v>
      </c>
      <c r="C58" s="36"/>
      <c r="D58" s="36"/>
      <c r="E58" s="36"/>
      <c r="F58" s="36"/>
      <c r="G58" s="36"/>
      <c r="H58" s="36"/>
      <c r="I58" s="36">
        <f t="shared" si="2"/>
        <v>0</v>
      </c>
      <c r="J58" s="10"/>
      <c r="K58" s="36"/>
      <c r="L58" s="10"/>
      <c r="M58" s="59" t="str">
        <f>HYPERLINK("https://www.youtube.com/watch?v=nq66DIFAyhs","Video Solution - Solver to be (Java)")</f>
        <v>Video Solution - Solver to be (Java)</v>
      </c>
    </row>
    <row r="59" spans="1:13" ht="25" customHeight="1">
      <c r="A59" s="56" t="s">
        <v>225</v>
      </c>
      <c r="B59" s="83" t="str">
        <f>HYPERLINK("http://codeforces.com/problemset/problem/767/A","CF767-D2-A")</f>
        <v>CF767-D2-A</v>
      </c>
      <c r="C59" s="36"/>
      <c r="D59" s="36"/>
      <c r="E59" s="36"/>
      <c r="F59" s="36"/>
      <c r="G59" s="36"/>
      <c r="H59" s="36"/>
      <c r="I59" s="36">
        <f t="shared" si="2"/>
        <v>0</v>
      </c>
      <c r="J59" s="10"/>
      <c r="K59" s="36"/>
      <c r="L59" s="10"/>
      <c r="M59" s="56"/>
    </row>
    <row r="60" spans="1:13" ht="25" customHeight="1">
      <c r="A60" s="56" t="s">
        <v>226</v>
      </c>
      <c r="B60" s="83" t="str">
        <f>HYPERLINK("http://codeforces.com/contest/768/problem/A","CF768-D2-A")</f>
        <v>CF768-D2-A</v>
      </c>
      <c r="C60" s="36"/>
      <c r="D60" s="36"/>
      <c r="E60" s="36"/>
      <c r="F60" s="36"/>
      <c r="G60" s="36"/>
      <c r="H60" s="36"/>
      <c r="I60" s="36">
        <f t="shared" si="2"/>
        <v>0</v>
      </c>
      <c r="J60" s="10"/>
      <c r="K60" s="36"/>
      <c r="L60" s="10"/>
      <c r="M60" s="59" t="str">
        <f>HYPERLINK("https://www.youtube.com/watch?v=4vBmYmqOoIk","Video Solution - Solver to be (Java)")</f>
        <v>Video Solution - Solver to be (Java)</v>
      </c>
    </row>
    <row r="61" spans="1:13" ht="25" customHeight="1">
      <c r="A61" s="56" t="s">
        <v>227</v>
      </c>
      <c r="B61" s="57" t="str">
        <f>HYPERLINK("http://codeforces.com/contest/520/problem/A","CF520-D2-A")</f>
        <v>CF520-D2-A</v>
      </c>
      <c r="C61" s="36"/>
      <c r="D61" s="36"/>
      <c r="E61" s="36"/>
      <c r="F61" s="36"/>
      <c r="G61" s="36"/>
      <c r="H61" s="36"/>
      <c r="I61" s="36">
        <f t="shared" si="2"/>
        <v>0</v>
      </c>
      <c r="J61" s="10"/>
      <c r="K61" s="36"/>
      <c r="L61" s="10"/>
      <c r="M61" s="70" t="str">
        <f>HYPERLINK("https://www.youtube.com/watch?v=TrHCzh7bPRo","Video Solution - Solver to be (Java)")</f>
        <v>Video Solution - Solver to be (Java)</v>
      </c>
    </row>
    <row r="62" spans="1:13" ht="25" customHeight="1">
      <c r="A62" s="56" t="s">
        <v>228</v>
      </c>
      <c r="B62" s="63" t="str">
        <f>HYPERLINK("http://codeforces.com/contest/160/problem/A","CF160-D2-A")</f>
        <v>CF160-D2-A</v>
      </c>
      <c r="C62" s="10"/>
      <c r="D62" s="10"/>
      <c r="E62" s="10"/>
      <c r="F62" s="10"/>
      <c r="G62" s="10"/>
      <c r="H62" s="67"/>
      <c r="I62" s="36">
        <f t="shared" si="2"/>
        <v>0</v>
      </c>
      <c r="J62" s="10"/>
      <c r="K62" s="36"/>
      <c r="L62" s="10"/>
      <c r="M62" s="70" t="str">
        <f>HYPERLINK("https://www.youtube.com/watch?v=V6fh3b50nX8","Video Solution - Solver to be (Java)")</f>
        <v>Video Solution - Solver to be (Java)</v>
      </c>
    </row>
    <row r="63" spans="1:13" ht="25" customHeight="1">
      <c r="A63" s="56" t="s">
        <v>229</v>
      </c>
      <c r="B63" s="63" t="str">
        <f>HYPERLINK("http://codeforces.com/contest/474/problem/A","CF474-D2-A")</f>
        <v>CF474-D2-A</v>
      </c>
      <c r="C63" s="10"/>
      <c r="D63" s="10"/>
      <c r="E63" s="10"/>
      <c r="F63" s="10"/>
      <c r="G63" s="10"/>
      <c r="H63" s="10"/>
      <c r="I63" s="36">
        <f t="shared" si="2"/>
        <v>0</v>
      </c>
      <c r="J63" s="10"/>
      <c r="K63" s="10"/>
      <c r="L63" s="10"/>
      <c r="M63" s="70" t="str">
        <f>HYPERLINK("https://www.youtube.com/watch?v=oFIiCpVI3Ck","Video Solution - Solver to be (Java)")</f>
        <v>Video Solution - Solver to be (Java)</v>
      </c>
    </row>
    <row r="64" spans="1:13" ht="25" customHeight="1">
      <c r="A64" s="10"/>
      <c r="B64" s="10"/>
      <c r="C64" s="36"/>
      <c r="D64" s="36"/>
      <c r="E64" s="36"/>
      <c r="F64" s="36"/>
      <c r="G64" s="36"/>
      <c r="H64" s="36"/>
      <c r="I64" s="36">
        <f t="shared" si="2"/>
        <v>0</v>
      </c>
      <c r="J64" s="10"/>
      <c r="K64" s="36"/>
      <c r="L64" s="10"/>
      <c r="M64" s="84"/>
    </row>
    <row r="65" spans="1:13" ht="25" customHeight="1">
      <c r="A65" s="10"/>
      <c r="B65" s="10"/>
      <c r="C65" s="36"/>
      <c r="D65" s="36"/>
      <c r="E65" s="36"/>
      <c r="F65" s="36"/>
      <c r="G65" s="36"/>
      <c r="H65" s="36"/>
      <c r="I65" s="36">
        <f t="shared" si="2"/>
        <v>0</v>
      </c>
      <c r="J65" s="10"/>
      <c r="K65" s="36"/>
      <c r="L65" s="10"/>
      <c r="M65" s="84" t="str">
        <f>HYPERLINK("https://www.youtube.com/watch?v=jzfcfQVBtKA","Watch - Graph Theory - Intro")</f>
        <v>Watch - Graph Theory - Intro</v>
      </c>
    </row>
    <row r="66" spans="1:13" ht="25" customHeight="1">
      <c r="A66" s="10"/>
      <c r="B66" s="10"/>
      <c r="C66" s="36"/>
      <c r="D66" s="36"/>
      <c r="E66" s="36"/>
      <c r="F66" s="36"/>
      <c r="G66" s="36"/>
      <c r="H66" s="36"/>
      <c r="I66" s="36">
        <f t="shared" si="2"/>
        <v>0</v>
      </c>
      <c r="J66" s="10"/>
      <c r="K66" s="36"/>
      <c r="L66" s="10"/>
      <c r="M66" s="84" t="str">
        <f>HYPERLINK("https://www.youtube.com/watch?v=9DP0X2xlPCo","Watch - Graph Theory - DFS")</f>
        <v>Watch - Graph Theory - DFS</v>
      </c>
    </row>
    <row r="67" spans="1:13" ht="25" customHeight="1">
      <c r="A67" s="74" t="s">
        <v>230</v>
      </c>
      <c r="B67" s="23" t="str">
        <f>HYPERLINK("https://uva.onlinejudge.org/index.php?option=onlinejudge&amp;page=show_problem&amp;problem=288","UVA 352")</f>
        <v>UVA 352</v>
      </c>
      <c r="C67" s="36"/>
      <c r="D67" s="36"/>
      <c r="E67" s="36"/>
      <c r="F67" s="36"/>
      <c r="G67" s="36"/>
      <c r="H67" s="36"/>
      <c r="I67" s="36">
        <f t="shared" si="2"/>
        <v>0</v>
      </c>
      <c r="J67" s="10"/>
      <c r="K67" s="36"/>
      <c r="L67" s="10"/>
      <c r="M67" s="70" t="str">
        <f>HYPERLINK("https://www.youtube.com/watch?v=-nRiMjHEIUg","Video Solution - Eng Mohamed Nasser")</f>
        <v>Video Solution - Eng Mohamed Nasser</v>
      </c>
    </row>
    <row r="68" spans="1:13" ht="25" customHeight="1">
      <c r="A68" s="74" t="s">
        <v>231</v>
      </c>
      <c r="B68" s="23" t="str">
        <f>HYPERLINK("https://uva.onlinejudge.org/index.php?option=onlinejudge&amp;page=show_problem&amp;problem=1393","UVA 10452")</f>
        <v>UVA 10452</v>
      </c>
      <c r="C68" s="36"/>
      <c r="D68" s="36"/>
      <c r="E68" s="36"/>
      <c r="F68" s="36"/>
      <c r="G68" s="36"/>
      <c r="H68" s="36"/>
      <c r="I68" s="36">
        <f t="shared" si="2"/>
        <v>0</v>
      </c>
      <c r="J68" s="10"/>
      <c r="K68" s="36"/>
      <c r="L68" s="10"/>
      <c r="M68" s="70" t="str">
        <f>HYPERLINK("https://www.youtube.com/watch?v=HtaczlDLylk","Video Solution - Eng Ayman Salah")</f>
        <v>Video Solution - Eng Ayman Salah</v>
      </c>
    </row>
    <row r="69" spans="1:13" ht="25" customHeight="1">
      <c r="A69" s="74" t="s">
        <v>232</v>
      </c>
      <c r="B69" s="23" t="str">
        <f>HYPERLINK("https://uva.onlinejudge.org/index.php?option=com_onlinejudge&amp;Itemid=8&amp;page=show_problem&amp;problem=3104","UVA 11953")</f>
        <v>UVA 11953</v>
      </c>
      <c r="C69" s="36"/>
      <c r="D69" s="36"/>
      <c r="E69" s="36"/>
      <c r="F69" s="36"/>
      <c r="G69" s="36"/>
      <c r="H69" s="36"/>
      <c r="I69" s="36">
        <f t="shared" si="2"/>
        <v>0</v>
      </c>
      <c r="J69" s="10"/>
      <c r="K69" s="36"/>
      <c r="L69" s="10"/>
      <c r="M69" s="70" t="str">
        <f>HYPERLINK("https://www.youtube.com/watch?v=nvPucDrmErI","Video Solution - Eng Aya Elymany")</f>
        <v>Video Solution - Eng Aya Elymany</v>
      </c>
    </row>
    <row r="70" spans="1:13" ht="25" customHeight="1">
      <c r="A70" s="10"/>
      <c r="B70" s="10"/>
      <c r="C70" s="36"/>
      <c r="D70" s="36"/>
      <c r="E70" s="36"/>
      <c r="F70" s="36"/>
      <c r="G70" s="36"/>
      <c r="H70" s="36"/>
      <c r="I70" s="36">
        <f t="shared" si="2"/>
        <v>0</v>
      </c>
      <c r="J70" s="10"/>
      <c r="K70" s="36"/>
      <c r="L70" s="10"/>
      <c r="M70" s="85" t="str">
        <f>HYPERLINK("https://en.wikipedia.org/wiki/Bipartite_graph","Read definition of: Bipartite graph")</f>
        <v>Read definition of: Bipartite graph</v>
      </c>
    </row>
    <row r="71" spans="1:13" ht="25" customHeight="1">
      <c r="A71" s="74" t="s">
        <v>233</v>
      </c>
      <c r="B71" s="23" t="str">
        <f>HYPERLINK("http://codeforces.com/contest/216/problem/B","CF216-D2-B")</f>
        <v>CF216-D2-B</v>
      </c>
      <c r="C71" s="36"/>
      <c r="D71" s="36"/>
      <c r="E71" s="36"/>
      <c r="F71" s="36"/>
      <c r="G71" s="36"/>
      <c r="H71" s="36"/>
      <c r="I71" s="36">
        <f t="shared" si="2"/>
        <v>0</v>
      </c>
      <c r="J71" s="10"/>
      <c r="K71" s="36"/>
      <c r="L71" s="10"/>
      <c r="M71" s="70" t="str">
        <f>HYPERLINK("https://www.youtube.com/watch?v=O4rahDYs9-c","Video Solution - Dr Mostafa Saad")</f>
        <v>Video Solution - Dr Mostafa Saad</v>
      </c>
    </row>
    <row r="72" spans="1:13" ht="25" customHeight="1">
      <c r="A72" s="74" t="s">
        <v>234</v>
      </c>
      <c r="B72" s="86" t="str">
        <f>HYPERLINK("http://www.spoj.com/problems/MAKETREE/","SPOJ MAKETREE")</f>
        <v>SPOJ MAKETREE</v>
      </c>
      <c r="C72" s="36"/>
      <c r="D72" s="36"/>
      <c r="E72" s="36"/>
      <c r="F72" s="36"/>
      <c r="G72" s="36"/>
      <c r="H72" s="36"/>
      <c r="I72" s="36">
        <f t="shared" si="2"/>
        <v>0</v>
      </c>
      <c r="J72" s="10"/>
      <c r="K72" s="36"/>
      <c r="L72" s="10"/>
      <c r="M72" s="54" t="str">
        <f>HYPERLINK("https://www.youtube.com/watch?v=Rmi_2e6gt5M","Video Solution - Eng Yahia Ashraf")</f>
        <v>Video Solution - Eng Yahia Ashraf</v>
      </c>
    </row>
    <row r="73" spans="1:13" ht="25" customHeight="1">
      <c r="A73" s="74" t="s">
        <v>235</v>
      </c>
      <c r="B73" s="86" t="str">
        <f>HYPERLINK("https://uva.onlinejudge.org/index.php?option=onlinejudge&amp;page=show_problem&amp;problem=1246","UVA 10305")</f>
        <v>UVA 10305</v>
      </c>
      <c r="C73" s="36"/>
      <c r="D73" s="36"/>
      <c r="E73" s="36"/>
      <c r="F73" s="36"/>
      <c r="G73" s="36"/>
      <c r="H73" s="36"/>
      <c r="I73" s="36">
        <f t="shared" si="2"/>
        <v>0</v>
      </c>
      <c r="J73" s="10"/>
      <c r="K73" s="36"/>
      <c r="L73" s="10"/>
      <c r="M73" s="54" t="str">
        <f>HYPERLINK("https://www.youtube.com/watch?v=4t-4ZC8BRj8","Video Solution - Eng Yahia Ashraf")</f>
        <v>Video Solution - Eng Yahia Ashraf</v>
      </c>
    </row>
    <row r="74" spans="1:13" ht="25" customHeight="1">
      <c r="A74" s="56"/>
      <c r="B74" s="57"/>
      <c r="C74" s="36"/>
      <c r="D74" s="36"/>
      <c r="E74" s="36"/>
      <c r="F74" s="36"/>
      <c r="G74" s="36"/>
      <c r="H74" s="36"/>
      <c r="I74" s="36">
        <f t="shared" si="2"/>
        <v>0</v>
      </c>
      <c r="J74" s="10"/>
      <c r="K74" s="36"/>
      <c r="L74" s="10"/>
      <c r="M74" s="10"/>
    </row>
    <row r="75" spans="1:13" ht="25" customHeight="1">
      <c r="A75" s="56" t="s">
        <v>236</v>
      </c>
      <c r="B75" s="63" t="str">
        <f>HYPERLINK("http://codeforces.com/contest/318/problem/A","CF318-D2-A")</f>
        <v>CF318-D2-A</v>
      </c>
      <c r="C75" s="36"/>
      <c r="D75" s="36"/>
      <c r="E75" s="36"/>
      <c r="F75" s="36"/>
      <c r="G75" s="36"/>
      <c r="H75" s="36"/>
      <c r="I75" s="36">
        <f t="shared" si="2"/>
        <v>0</v>
      </c>
      <c r="J75" s="10"/>
      <c r="K75" s="36"/>
      <c r="L75" s="10"/>
      <c r="M75" s="76" t="str">
        <f>HYPERLINK("https://www.youtube.com/watch?v=w7gZx99Efzs&amp;feature=youtu.be","Video Solution - Eng Muntaser Abukadeja")</f>
        <v>Video Solution - Eng Muntaser Abukadeja</v>
      </c>
    </row>
    <row r="76" spans="1:13" ht="25" customHeight="1">
      <c r="A76" s="56" t="s">
        <v>237</v>
      </c>
      <c r="B76" s="63" t="str">
        <f>HYPERLINK("http://codeforces.com/contest/469/problem/A","CF469-D2-A")</f>
        <v>CF469-D2-A</v>
      </c>
      <c r="C76" s="10"/>
      <c r="D76" s="10"/>
      <c r="E76" s="10"/>
      <c r="F76" s="10"/>
      <c r="G76" s="10"/>
      <c r="H76" s="67"/>
      <c r="I76" s="36">
        <f t="shared" si="2"/>
        <v>0</v>
      </c>
      <c r="J76" s="10"/>
      <c r="K76" s="36"/>
      <c r="L76" s="10"/>
      <c r="M76" s="70" t="str">
        <f>HYPERLINK("https://www.youtube.com/watch?v=MVHuUdj_CWo","Video Solution - Solver to be (Java)")</f>
        <v>Video Solution - Solver to be (Java)</v>
      </c>
    </row>
    <row r="77" spans="1:13" ht="25" customHeight="1">
      <c r="A77" s="56" t="s">
        <v>238</v>
      </c>
      <c r="B77" s="83" t="str">
        <f>HYPERLINK("http://codeforces.com/contest/807/problem/A","CF807-D2-A")</f>
        <v>CF807-D2-A</v>
      </c>
      <c r="C77" s="36"/>
      <c r="D77" s="36"/>
      <c r="E77" s="36"/>
      <c r="F77" s="36"/>
      <c r="G77" s="36"/>
      <c r="H77" s="36"/>
      <c r="I77" s="36">
        <f t="shared" si="2"/>
        <v>0</v>
      </c>
      <c r="J77" s="10"/>
      <c r="K77" s="36"/>
      <c r="L77" s="10"/>
      <c r="M77" s="59" t="str">
        <f>HYPERLINK("https://www.youtube.com/watch?v=PU-Lg0gs6kY","Video Solution - Solver to be (Java)")</f>
        <v>Video Solution - Solver to be (Java)</v>
      </c>
    </row>
    <row r="78" spans="1:13" ht="25" customHeight="1">
      <c r="A78" s="56" t="s">
        <v>239</v>
      </c>
      <c r="B78" s="57" t="str">
        <f>HYPERLINK("http://codeforces.com/contest/584/problem/A","CF584-D2-A")</f>
        <v>CF584-D2-A</v>
      </c>
      <c r="C78" s="36"/>
      <c r="D78" s="36"/>
      <c r="E78" s="36"/>
      <c r="F78" s="36"/>
      <c r="G78" s="36"/>
      <c r="H78" s="36"/>
      <c r="I78" s="36">
        <f t="shared" si="2"/>
        <v>0</v>
      </c>
      <c r="J78" s="10"/>
      <c r="K78" s="36"/>
      <c r="L78" s="10"/>
      <c r="M78" s="59" t="str">
        <f>HYPERLINK("https://www.youtube.com/watch?v=U3bX6kIGDG8","Video Solution - Solver to be (Java)")</f>
        <v>Video Solution - Solver to be (Java)</v>
      </c>
    </row>
    <row r="79" spans="1:13" ht="25" customHeight="1">
      <c r="A79" s="60" t="s">
        <v>240</v>
      </c>
      <c r="B79" s="61" t="str">
        <f>HYPERLINK("http://codeforces.com/contest/43/problem/A","CF43-D2-A")</f>
        <v>CF43-D2-A</v>
      </c>
      <c r="C79" s="36"/>
      <c r="D79" s="36"/>
      <c r="E79" s="36"/>
      <c r="F79" s="36"/>
      <c r="G79" s="36"/>
      <c r="H79" s="36"/>
      <c r="I79" s="36">
        <f t="shared" si="2"/>
        <v>0</v>
      </c>
      <c r="J79" s="10"/>
      <c r="K79" s="36"/>
      <c r="L79" s="10"/>
      <c r="M79" s="59" t="str">
        <f>HYPERLINK("https://www.youtube.com/watch?v=fUOco0Vz584&amp;feature=youtu.be","Video Solution - Eng Belal Abdulnasser (Python)")</f>
        <v>Video Solution - Eng Belal Abdulnasser (Python)</v>
      </c>
    </row>
    <row r="80" spans="1:13" ht="25" customHeight="1">
      <c r="A80" s="60" t="s">
        <v>241</v>
      </c>
      <c r="B80" s="61" t="str">
        <f>HYPERLINK("http://codeforces.com/contest/707/problem/A","CF707-D2-A")</f>
        <v>CF707-D2-A</v>
      </c>
      <c r="C80" s="36"/>
      <c r="D80" s="36"/>
      <c r="E80" s="36"/>
      <c r="F80" s="36"/>
      <c r="G80" s="36"/>
      <c r="H80" s="36"/>
      <c r="I80" s="36">
        <f t="shared" si="2"/>
        <v>0</v>
      </c>
      <c r="J80" s="10"/>
      <c r="K80" s="36"/>
      <c r="L80" s="10"/>
      <c r="M80" s="59" t="str">
        <f>HYPERLINK("https://www.youtube.com/watch?v=cCraOn4wjAs","Video Solution - Solver to be (Java)")</f>
        <v>Video Solution - Solver to be (Java)</v>
      </c>
    </row>
    <row r="81" spans="1:13" ht="25" customHeight="1">
      <c r="A81" s="60" t="s">
        <v>242</v>
      </c>
      <c r="B81" s="61" t="str">
        <f>HYPERLINK("http://codeforces.com/contest/208/problem/A","CF208-D2-A")</f>
        <v>CF208-D2-A</v>
      </c>
      <c r="C81" s="36"/>
      <c r="D81" s="36"/>
      <c r="E81" s="36"/>
      <c r="F81" s="36"/>
      <c r="G81" s="36"/>
      <c r="H81" s="36"/>
      <c r="I81" s="36">
        <f t="shared" si="2"/>
        <v>0</v>
      </c>
      <c r="J81" s="10"/>
      <c r="K81" s="36"/>
      <c r="L81" s="10"/>
      <c r="M81" s="59" t="str">
        <f>HYPERLINK("https://www.youtube.com/watch?v=M4umpd8utSA","Video Solution - Solver to be (Java)")</f>
        <v>Video Solution - Solver to be (Java)</v>
      </c>
    </row>
    <row r="82" spans="1:13" ht="25" customHeight="1">
      <c r="A82" s="56" t="s">
        <v>243</v>
      </c>
      <c r="B82" s="63" t="str">
        <f>HYPERLINK("http://codeforces.com/contest/404/problem/A","CF404-D2-A")</f>
        <v>CF404-D2-A</v>
      </c>
      <c r="C82" s="10"/>
      <c r="D82" s="10"/>
      <c r="E82" s="10"/>
      <c r="F82" s="10"/>
      <c r="G82" s="10"/>
      <c r="H82" s="10"/>
      <c r="I82" s="36">
        <f t="shared" si="2"/>
        <v>0</v>
      </c>
      <c r="J82" s="10"/>
      <c r="K82" s="10"/>
      <c r="L82" s="10"/>
      <c r="M82" s="87" t="str">
        <f>HYPERLINK("https://www.youtube.com/watch?v=vLEXMm860gQ","Video Solution - Solver to be (Java)")</f>
        <v>Video Solution - Solver to be (Java)</v>
      </c>
    </row>
    <row r="83" spans="1:13" ht="25" customHeight="1">
      <c r="A83" s="56" t="s">
        <v>244</v>
      </c>
      <c r="B83" s="63" t="str">
        <f>HYPERLINK("http://codeforces.com/contest/742/problem/A","CF742-D2-A")</f>
        <v>CF742-D2-A</v>
      </c>
      <c r="C83" s="10"/>
      <c r="D83" s="10"/>
      <c r="E83" s="10"/>
      <c r="F83" s="10"/>
      <c r="G83" s="10"/>
      <c r="H83" s="10"/>
      <c r="I83" s="36">
        <f t="shared" si="2"/>
        <v>0</v>
      </c>
      <c r="J83" s="10"/>
      <c r="K83" s="10"/>
      <c r="L83" s="10"/>
      <c r="M83" s="87" t="str">
        <f>HYPERLINK("https://www.youtube.com/watch?v=kdJGLjKy54o","Video Solution - Solver to be (Java)")</f>
        <v>Video Solution - Solver to be (Java)</v>
      </c>
    </row>
    <row r="84" spans="1:13" ht="25" customHeight="1">
      <c r="A84" s="56" t="s">
        <v>245</v>
      </c>
      <c r="B84" s="63" t="str">
        <f>HYPERLINK("http://codeforces.com/contest/486/problem/A","CF486-D2-A")</f>
        <v>CF486-D2-A</v>
      </c>
      <c r="C84" s="10"/>
      <c r="D84" s="10"/>
      <c r="E84" s="10"/>
      <c r="F84" s="10"/>
      <c r="G84" s="10"/>
      <c r="H84" s="10"/>
      <c r="I84" s="36">
        <f t="shared" si="2"/>
        <v>0</v>
      </c>
      <c r="J84" s="10"/>
      <c r="K84" s="10"/>
      <c r="L84" s="10"/>
      <c r="M84" s="87" t="str">
        <f>HYPERLINK("https://www.youtube.com/watch?v=IByiomshI2o","Video Solution - Solver to be (Java)")</f>
        <v>Video Solution - Solver to be (Java)</v>
      </c>
    </row>
    <row r="85" spans="1:13" ht="25" customHeight="1">
      <c r="A85" s="56" t="s">
        <v>246</v>
      </c>
      <c r="B85" s="63" t="str">
        <f>HYPERLINK("http://codeforces.com/contest/1/problem/A","CF1-D12-A")</f>
        <v>CF1-D12-A</v>
      </c>
      <c r="C85" s="10"/>
      <c r="D85" s="10"/>
      <c r="E85" s="10"/>
      <c r="F85" s="10"/>
      <c r="G85" s="10"/>
      <c r="H85" s="10"/>
      <c r="I85" s="36">
        <f t="shared" si="2"/>
        <v>0</v>
      </c>
      <c r="J85" s="10"/>
      <c r="K85" s="10"/>
      <c r="L85" s="10"/>
      <c r="M85" s="87" t="str">
        <f>HYPERLINK("https://www.youtube.com/watch?v=C5qZwZYPMJY","Video Solution - Solver to be (Java)")</f>
        <v>Video Solution - Solver to be (Java)</v>
      </c>
    </row>
    <row r="86" spans="1:13" ht="25" customHeight="1">
      <c r="A86" s="56" t="s">
        <v>247</v>
      </c>
      <c r="B86" s="63" t="str">
        <f>HYPERLINK("http://codeforces.com/contest/785/problem/A","CF785-D2-A")</f>
        <v>CF785-D2-A</v>
      </c>
      <c r="C86" s="10"/>
      <c r="D86" s="10"/>
      <c r="E86" s="10"/>
      <c r="F86" s="10"/>
      <c r="G86" s="10"/>
      <c r="H86" s="10"/>
      <c r="I86" s="36">
        <f t="shared" si="2"/>
        <v>0</v>
      </c>
      <c r="J86" s="10"/>
      <c r="K86" s="10"/>
      <c r="L86" s="10"/>
      <c r="M86" s="87" t="str">
        <f>HYPERLINK("https://www.youtube.com/watch?v=PgEnG308Hf4","Video Solution - Solver to be (Java)")</f>
        <v>Video Solution - Solver to be (Java)</v>
      </c>
    </row>
    <row r="87" spans="1:13" ht="25" customHeight="1">
      <c r="A87" s="56" t="s">
        <v>248</v>
      </c>
      <c r="B87" s="63" t="str">
        <f>HYPERLINK("http://codeforces.com/contest/80/problem/A","CF80-D2-A")</f>
        <v>CF80-D2-A</v>
      </c>
      <c r="C87" s="10"/>
      <c r="D87" s="10"/>
      <c r="E87" s="10"/>
      <c r="F87" s="10"/>
      <c r="G87" s="10"/>
      <c r="H87" s="10"/>
      <c r="I87" s="36">
        <f t="shared" si="2"/>
        <v>0</v>
      </c>
      <c r="J87" s="10"/>
      <c r="K87" s="10"/>
      <c r="L87" s="10"/>
      <c r="M87" s="87" t="str">
        <f>HYPERLINK("https://www.youtube.com/watch?v=eBT7tgXcd2I","Video Solution - Solver to be (Java)")</f>
        <v>Video Solution - Solver to be (Java)</v>
      </c>
    </row>
    <row r="88" spans="1:13" ht="25" customHeight="1">
      <c r="A88" s="56" t="s">
        <v>249</v>
      </c>
      <c r="B88" s="57" t="str">
        <f>HYPERLINK("http://codeforces.com/contest/483/problem/A","CF483-D2-A")</f>
        <v>CF483-D2-A</v>
      </c>
      <c r="C88" s="10"/>
      <c r="D88" s="10"/>
      <c r="E88" s="10"/>
      <c r="F88" s="10"/>
      <c r="G88" s="10"/>
      <c r="H88" s="10"/>
      <c r="I88" s="36">
        <f t="shared" si="2"/>
        <v>0</v>
      </c>
      <c r="J88" s="10"/>
      <c r="K88" s="10"/>
      <c r="L88" s="10"/>
      <c r="M88" s="87" t="str">
        <f>HYPERLINK("https://www.youtube.com/watch?v=hWzHWVd9jI8","Video Solution - Solver to be (Java)")</f>
        <v>Video Solution - Solver to be (Java)</v>
      </c>
    </row>
    <row r="89" spans="1:13" ht="25" customHeight="1">
      <c r="A89" s="40"/>
      <c r="B89" s="88"/>
      <c r="C89" s="36"/>
      <c r="D89" s="36"/>
      <c r="E89" s="36"/>
      <c r="F89" s="36"/>
      <c r="G89" s="36"/>
      <c r="H89" s="36"/>
      <c r="I89" s="36">
        <f t="shared" si="2"/>
        <v>0</v>
      </c>
      <c r="J89" s="36"/>
      <c r="K89" s="36"/>
      <c r="L89" s="36"/>
      <c r="M89" s="48"/>
    </row>
    <row r="90" spans="1:13" ht="25" customHeight="1">
      <c r="A90" s="10"/>
      <c r="B90" s="10"/>
      <c r="C90" s="10"/>
      <c r="D90" s="10"/>
      <c r="E90" s="10"/>
      <c r="F90" s="10"/>
      <c r="G90" s="10"/>
      <c r="H90" s="10"/>
      <c r="I90" s="36">
        <f t="shared" si="2"/>
        <v>0</v>
      </c>
      <c r="J90" s="10"/>
      <c r="K90" s="10"/>
      <c r="L90" s="10"/>
      <c r="M90" s="89" t="str">
        <f>HYPERLINK("https://www.youtube.com/watch?v=EQzmtn4PzYQ","Watch - Measuring Algorithms Perfromance - 1")</f>
        <v>Watch - Measuring Algorithms Perfromance - 1</v>
      </c>
    </row>
    <row r="91" spans="1:13" ht="25" customHeight="1">
      <c r="A91" s="40"/>
      <c r="B91" s="88"/>
      <c r="C91" s="36"/>
      <c r="D91" s="36"/>
      <c r="E91" s="36"/>
      <c r="F91" s="36"/>
      <c r="G91" s="36"/>
      <c r="H91" s="36"/>
      <c r="I91" s="36">
        <f t="shared" si="2"/>
        <v>0</v>
      </c>
      <c r="J91" s="36"/>
      <c r="K91" s="36"/>
      <c r="L91" s="36"/>
      <c r="M91" s="48" t="str">
        <f>HYPERLINK("https://www.youtube.com/watch?v=XhVmgLXYvuQ","Watch - Computational Geometry - Intro")</f>
        <v>Watch - Computational Geometry - Intro</v>
      </c>
    </row>
    <row r="92" spans="1:13" ht="25" customHeight="1">
      <c r="A92" s="49"/>
      <c r="B92" s="90"/>
      <c r="C92" s="36"/>
      <c r="D92" s="36"/>
      <c r="E92" s="36"/>
      <c r="F92" s="36"/>
      <c r="G92" s="36"/>
      <c r="H92" s="36"/>
      <c r="I92" s="36">
        <f t="shared" si="2"/>
        <v>0</v>
      </c>
      <c r="J92" s="36"/>
      <c r="K92" s="36"/>
      <c r="L92" s="36"/>
      <c r="M92" s="48" t="str">
        <f>HYPERLINK("https://www.youtube.com/watch?v=2CUN12WrNr4","Watch - Computational Geometry - Point and Vector")</f>
        <v>Watch - Computational Geometry - Point and Vector</v>
      </c>
    </row>
    <row r="93" spans="1:13" ht="25" customHeight="1">
      <c r="A93" s="91" t="s">
        <v>250</v>
      </c>
      <c r="B93" s="92" t="str">
        <f>HYPERLINK("http://codeforces.com/contest/127/problem/A","CF127-D2-A")</f>
        <v>CF127-D2-A</v>
      </c>
      <c r="C93" s="36"/>
      <c r="D93" s="36"/>
      <c r="E93" s="36"/>
      <c r="F93" s="36"/>
      <c r="G93" s="36"/>
      <c r="H93" s="36"/>
      <c r="I93" s="36">
        <f t="shared" si="2"/>
        <v>0</v>
      </c>
      <c r="J93" s="10"/>
      <c r="K93" s="36"/>
      <c r="L93" s="10"/>
      <c r="M93" s="10"/>
    </row>
    <row r="94" spans="1:13" ht="25" customHeight="1">
      <c r="A94" s="91" t="s">
        <v>251</v>
      </c>
      <c r="B94" s="92" t="str">
        <f>HYPERLINK("https://uva.onlinejudge.org/index.php?option=onlinejudge&amp;page=show_problem&amp;problem=417","UVA 476")</f>
        <v>UVA 476</v>
      </c>
      <c r="C94" s="36"/>
      <c r="D94" s="36"/>
      <c r="E94" s="36"/>
      <c r="F94" s="36"/>
      <c r="G94" s="36"/>
      <c r="H94" s="36"/>
      <c r="I94" s="36">
        <f t="shared" si="2"/>
        <v>0</v>
      </c>
      <c r="J94" s="93"/>
      <c r="K94" s="36"/>
      <c r="L94" s="93"/>
      <c r="M94" s="49"/>
    </row>
    <row r="95" spans="1:13" ht="25" customHeight="1">
      <c r="A95" s="91" t="s">
        <v>252</v>
      </c>
      <c r="B95" s="92" t="str">
        <f>HYPERLINK("https://uva.onlinejudge.org/index.php?option=onlinejudge&amp;page=show_problem&amp;problem=401","UVA 460")</f>
        <v>UVA 460</v>
      </c>
      <c r="C95" s="36"/>
      <c r="D95" s="36"/>
      <c r="E95" s="36"/>
      <c r="F95" s="36"/>
      <c r="G95" s="36"/>
      <c r="H95" s="36"/>
      <c r="I95" s="36">
        <f t="shared" si="2"/>
        <v>0</v>
      </c>
      <c r="J95" s="93"/>
      <c r="K95" s="36"/>
      <c r="L95" s="93"/>
      <c r="M95" s="94" t="str">
        <f>HYPERLINK("https://www.youtube.com/watch?v=NOZxcOu25Iw","Video Solution - Eng Muntaser Abukadeja")</f>
        <v>Video Solution - Eng Muntaser Abukadeja</v>
      </c>
    </row>
    <row r="96" spans="1:13" ht="25" customHeight="1">
      <c r="A96" s="91" t="s">
        <v>253</v>
      </c>
      <c r="B96" s="92" t="str">
        <f>HYPERLINK("http://codeforces.com/contest/270/problem/A","CF270-D2-A")</f>
        <v>CF270-D2-A</v>
      </c>
      <c r="C96" s="36"/>
      <c r="D96" s="36"/>
      <c r="E96" s="36"/>
      <c r="F96" s="36"/>
      <c r="G96" s="36"/>
      <c r="H96" s="36"/>
      <c r="I96" s="36">
        <f t="shared" si="2"/>
        <v>0</v>
      </c>
      <c r="J96" s="10"/>
      <c r="K96" s="36"/>
      <c r="L96" s="10"/>
      <c r="M96" s="95" t="str">
        <f>HYPERLINK("https://www.youtube.com/watch?v=ShgpJWttyxw","Video Solution - Eng Omar Ashraf")</f>
        <v>Video Solution - Eng Omar Ashraf</v>
      </c>
    </row>
    <row r="97" spans="1:13" ht="25" customHeight="1">
      <c r="A97" s="91" t="s">
        <v>254</v>
      </c>
      <c r="B97" s="92" t="str">
        <f>HYPERLINK("http://codeforces.com/contest/667/problem/A","CF667-D2-A")</f>
        <v>CF667-D2-A</v>
      </c>
      <c r="C97" s="36"/>
      <c r="D97" s="36"/>
      <c r="E97" s="36"/>
      <c r="F97" s="36"/>
      <c r="G97" s="36"/>
      <c r="H97" s="36"/>
      <c r="I97" s="36">
        <f t="shared" si="2"/>
        <v>0</v>
      </c>
      <c r="J97" s="10"/>
      <c r="K97" s="36"/>
      <c r="L97" s="10"/>
      <c r="M97" s="10"/>
    </row>
    <row r="98" spans="1:13" ht="25" customHeight="1">
      <c r="A98" s="91" t="s">
        <v>255</v>
      </c>
      <c r="B98" s="92" t="str">
        <f>HYPERLINK("https://uva.onlinejudge.org/index.php?option=onlinejudge&amp;page=show_problem&amp;problem=1183","UVA 10242")</f>
        <v>UVA 10242</v>
      </c>
      <c r="C98" s="36"/>
      <c r="D98" s="36"/>
      <c r="E98" s="36"/>
      <c r="F98" s="36"/>
      <c r="G98" s="36"/>
      <c r="H98" s="36"/>
      <c r="I98" s="36">
        <f t="shared" si="2"/>
        <v>0</v>
      </c>
      <c r="J98" s="93"/>
      <c r="K98" s="36"/>
      <c r="L98" s="93"/>
      <c r="M98" s="94" t="str">
        <f>HYPERLINK("https://www.youtube.com/watch?v=QkYkuhUHMQA&amp;feature=youtu.be","Video Solution - Eng Magdy Hasan")</f>
        <v>Video Solution - Eng Magdy Hasan</v>
      </c>
    </row>
    <row r="99" spans="1:13" ht="25" customHeight="1">
      <c r="A99" s="49"/>
      <c r="B99" s="90"/>
      <c r="C99" s="36"/>
      <c r="D99" s="36"/>
      <c r="E99" s="36"/>
      <c r="F99" s="36"/>
      <c r="G99" s="36"/>
      <c r="H99" s="36"/>
      <c r="I99" s="36">
        <f t="shared" si="2"/>
        <v>0</v>
      </c>
      <c r="J99" s="93"/>
      <c r="K99" s="36"/>
      <c r="L99" s="93"/>
      <c r="M99" s="49"/>
    </row>
    <row r="100" spans="1:13" ht="25" customHeight="1">
      <c r="A100" s="65" t="s">
        <v>256</v>
      </c>
      <c r="B100" s="50" t="str">
        <f>HYPERLINK("http://codeforces.com/contest/365/problem/A","CF365-D2-A")</f>
        <v>CF365-D2-A</v>
      </c>
      <c r="C100" s="36"/>
      <c r="D100" s="36"/>
      <c r="E100" s="36"/>
      <c r="F100" s="36"/>
      <c r="G100" s="36"/>
      <c r="H100" s="36"/>
      <c r="I100" s="36">
        <f t="shared" si="2"/>
        <v>0</v>
      </c>
      <c r="J100" s="93"/>
      <c r="K100" s="36"/>
      <c r="L100" s="93"/>
      <c r="M100" s="94" t="str">
        <f>HYPERLINK("https://www.youtube.com/watch?v=W5SLLnni1KM&amp;feature=youtu.be","Video Solution - Eng Muntaser Abukadeja")</f>
        <v>Video Solution - Eng Muntaser Abukadeja</v>
      </c>
    </row>
    <row r="101" spans="1:13" ht="25" customHeight="1">
      <c r="A101" s="65" t="s">
        <v>257</v>
      </c>
      <c r="B101" s="50" t="str">
        <f>HYPERLINK("http://codeforces.com/contest/225/problem/A","CF225-D2-A")</f>
        <v>CF225-D2-A</v>
      </c>
      <c r="C101" s="36"/>
      <c r="D101" s="36"/>
      <c r="E101" s="36"/>
      <c r="F101" s="36"/>
      <c r="G101" s="36"/>
      <c r="H101" s="36"/>
      <c r="I101" s="36">
        <f t="shared" si="2"/>
        <v>0</v>
      </c>
      <c r="J101" s="93"/>
      <c r="K101" s="36"/>
      <c r="L101" s="93"/>
      <c r="M101" s="94" t="str">
        <f>HYPERLINK("https://www.youtube.com/watch?v=AU4cdWZrKNA&amp;feature=youtu.be","Video Solution - Eng Muntaser Abukadeja")</f>
        <v>Video Solution - Eng Muntaser Abukadeja</v>
      </c>
    </row>
    <row r="102" spans="1:13" ht="25" customHeight="1">
      <c r="A102" s="65" t="s">
        <v>258</v>
      </c>
      <c r="B102" s="50" t="str">
        <f>HYPERLINK("http://codeforces.com/contest/682/problem/A","CF682-D2-A")</f>
        <v>CF682-D2-A</v>
      </c>
      <c r="C102" s="36"/>
      <c r="D102" s="36"/>
      <c r="E102" s="36"/>
      <c r="F102" s="36"/>
      <c r="G102" s="36"/>
      <c r="H102" s="36"/>
      <c r="I102" s="36">
        <f t="shared" si="2"/>
        <v>0</v>
      </c>
      <c r="J102" s="93"/>
      <c r="K102" s="36"/>
      <c r="L102" s="93"/>
      <c r="M102" s="94" t="str">
        <f>HYPERLINK("https://www.youtube.com/watch?v=05ZIXw2G4Pw&amp;feature=youtu.be","Video Solution - Eng John Gamal")</f>
        <v>Video Solution - Eng John Gamal</v>
      </c>
    </row>
    <row r="103" spans="1:13" ht="25" customHeight="1">
      <c r="A103" s="65" t="s">
        <v>259</v>
      </c>
      <c r="B103" s="50" t="str">
        <f>HYPERLINK("http://codeforces.com/contest/218/problem/A","CF218-D2-A")</f>
        <v>CF218-D2-A</v>
      </c>
      <c r="C103" s="36"/>
      <c r="D103" s="36"/>
      <c r="E103" s="36"/>
      <c r="F103" s="36"/>
      <c r="G103" s="36"/>
      <c r="H103" s="36"/>
      <c r="I103" s="36">
        <f t="shared" si="2"/>
        <v>0</v>
      </c>
      <c r="J103" s="93"/>
      <c r="K103" s="36"/>
      <c r="L103" s="93"/>
      <c r="M103" s="94" t="str">
        <f>HYPERLINK("https://www.youtube.com/watch?v=qmGhxFPv5GI&amp;feature=youtu.be","Video Solution - Eng John Gamal")</f>
        <v>Video Solution - Eng John Gamal</v>
      </c>
    </row>
    <row r="104" spans="1:13" ht="25" customHeight="1">
      <c r="A104" s="65" t="s">
        <v>260</v>
      </c>
      <c r="B104" s="50" t="str">
        <f>HYPERLINK("http://codeforces.com/contest/143/problem/A","CF143-D2-A")</f>
        <v>CF143-D2-A</v>
      </c>
      <c r="C104" s="36"/>
      <c r="D104" s="36"/>
      <c r="E104" s="36"/>
      <c r="F104" s="36"/>
      <c r="G104" s="36"/>
      <c r="H104" s="36"/>
      <c r="I104" s="36">
        <f t="shared" si="2"/>
        <v>0</v>
      </c>
      <c r="J104" s="93"/>
      <c r="K104" s="36"/>
      <c r="L104" s="93"/>
      <c r="M104" s="94" t="str">
        <f>HYPERLINK("https://www.youtube.com/watch?v=cmMkGSMHTKE","Video Solution - Eng John Gamal")</f>
        <v>Video Solution - Eng John Gamal</v>
      </c>
    </row>
    <row r="105" spans="1:13" ht="25" customHeight="1">
      <c r="A105" s="65" t="s">
        <v>261</v>
      </c>
      <c r="B105" s="50" t="str">
        <f>HYPERLINK("http://codeforces.com/contest/514/problem/A","CF514-D2-A")</f>
        <v>CF514-D2-A</v>
      </c>
      <c r="C105" s="36"/>
      <c r="D105" s="36"/>
      <c r="E105" s="36"/>
      <c r="F105" s="36"/>
      <c r="G105" s="36"/>
      <c r="H105" s="36"/>
      <c r="I105" s="36">
        <f t="shared" si="2"/>
        <v>0</v>
      </c>
      <c r="J105" s="93"/>
      <c r="K105" s="36"/>
      <c r="L105" s="93"/>
      <c r="M105" s="94" t="str">
        <f>HYPERLINK("https://www.youtube.com/watch?v=wU51frCexTY&amp;feature=youtu.be","Video Solution - Eng Muntaser Abukadeja")</f>
        <v>Video Solution - Eng Muntaser Abukadeja</v>
      </c>
    </row>
    <row r="106" spans="1:13" ht="25" customHeight="1">
      <c r="A106" s="65" t="s">
        <v>262</v>
      </c>
      <c r="B106" s="50" t="str">
        <f>HYPERLINK("http://codeforces.com/contest/382/problem/A","CF382-D2-A")</f>
        <v>CF382-D2-A</v>
      </c>
      <c r="C106" s="36"/>
      <c r="D106" s="36"/>
      <c r="E106" s="36"/>
      <c r="F106" s="36"/>
      <c r="G106" s="36"/>
      <c r="H106" s="36"/>
      <c r="I106" s="36">
        <f t="shared" si="2"/>
        <v>0</v>
      </c>
      <c r="J106" s="93"/>
      <c r="K106" s="36"/>
      <c r="L106" s="93"/>
      <c r="M106" s="55" t="str">
        <f>HYPERLINK("https://www.youtube.com/watch?v=6xkV-GeRs2o&amp;feature=youtu.be","Video Solution - Eng Samed Hajajla")</f>
        <v>Video Solution - Eng Samed Hajajla</v>
      </c>
    </row>
    <row r="107" spans="1:13" ht="25" customHeight="1">
      <c r="A107" s="65" t="s">
        <v>263</v>
      </c>
      <c r="B107" s="50" t="str">
        <f>HYPERLINK("http://codeforces.com/contest/699/problem/A","CF699-D2-A")</f>
        <v>CF699-D2-A</v>
      </c>
      <c r="C107" s="36"/>
      <c r="D107" s="36"/>
      <c r="E107" s="36"/>
      <c r="F107" s="36"/>
      <c r="G107" s="36"/>
      <c r="H107" s="36"/>
      <c r="I107" s="36">
        <f t="shared" si="2"/>
        <v>0</v>
      </c>
      <c r="J107" s="93"/>
      <c r="K107" s="36"/>
      <c r="L107" s="93"/>
      <c r="M107" s="94" t="str">
        <f>HYPERLINK("https://www.youtube.com/watch?v=2xSkHmA5z8s","Video Solution - Eng Samed Hajajla")</f>
        <v>Video Solution - Eng Samed Hajajla</v>
      </c>
    </row>
    <row r="108" spans="1:13" ht="25" customHeight="1">
      <c r="A108" s="60" t="s">
        <v>264</v>
      </c>
      <c r="B108" s="96" t="str">
        <f>HYPERLINK("http://codeforces.com/contest/289/problem/A","CF289-D2-A")</f>
        <v>CF289-D2-A</v>
      </c>
      <c r="C108" s="36"/>
      <c r="D108" s="36"/>
      <c r="E108" s="36"/>
      <c r="F108" s="36"/>
      <c r="G108" s="36"/>
      <c r="H108" s="36"/>
      <c r="I108" s="36">
        <f t="shared" si="2"/>
        <v>0</v>
      </c>
      <c r="J108" s="10"/>
      <c r="K108" s="36"/>
      <c r="L108" s="10"/>
      <c r="M108" s="97" t="str">
        <f>HYPERLINK("https://www.youtube.com/watch?v=EjH3kDiEpS0","Video Solution - Dr Mostafa Saad")</f>
        <v>Video Solution - Dr Mostafa Saad</v>
      </c>
    </row>
    <row r="109" spans="1:13" ht="25" customHeight="1">
      <c r="A109" s="60" t="s">
        <v>265</v>
      </c>
      <c r="B109" s="96" t="str">
        <f>HYPERLINK("http://codeforces.com/contest/287/problem/A","CF287-D2-A")</f>
        <v>CF287-D2-A</v>
      </c>
      <c r="C109" s="36"/>
      <c r="D109" s="36"/>
      <c r="E109" s="36"/>
      <c r="F109" s="36"/>
      <c r="G109" s="36"/>
      <c r="H109" s="36"/>
      <c r="I109" s="36">
        <f t="shared" si="2"/>
        <v>0</v>
      </c>
      <c r="J109" s="10"/>
      <c r="K109" s="36"/>
      <c r="L109" s="10"/>
      <c r="M109" s="97" t="str">
        <f>HYPERLINK("https://www.youtube.com/watch?v=n7uY7HC4XIM","Video Solution - Dr Mostafa Saad")</f>
        <v>Video Solution - Dr Mostafa Saad</v>
      </c>
    </row>
    <row r="110" spans="1:13" ht="25" customHeight="1">
      <c r="A110" s="60" t="s">
        <v>266</v>
      </c>
      <c r="B110" s="96" t="str">
        <f>HYPERLINK("http://codeforces.com/contest/296/problem/A","CF296-D2-A")</f>
        <v>CF296-D2-A</v>
      </c>
      <c r="C110" s="36"/>
      <c r="D110" s="36"/>
      <c r="E110" s="36"/>
      <c r="F110" s="36"/>
      <c r="G110" s="36"/>
      <c r="H110" s="36"/>
      <c r="I110" s="36">
        <f t="shared" si="2"/>
        <v>0</v>
      </c>
      <c r="J110" s="10"/>
      <c r="K110" s="36"/>
      <c r="L110" s="10"/>
      <c r="M110" s="97" t="str">
        <f>HYPERLINK("https://www.youtube.com/watch?v=kdgWBRPqMfo","Video Solution - Dr Mostafa Saad")</f>
        <v>Video Solution - Dr Mostafa Saad</v>
      </c>
    </row>
    <row r="111" spans="1:13" ht="25" customHeight="1">
      <c r="A111" s="60" t="s">
        <v>267</v>
      </c>
      <c r="B111" s="96" t="str">
        <f>HYPERLINK("http://codeforces.com/contest/298/problem/A","CF298-D2-A")</f>
        <v>CF298-D2-A</v>
      </c>
      <c r="C111" s="36"/>
      <c r="D111" s="36"/>
      <c r="E111" s="36"/>
      <c r="F111" s="36"/>
      <c r="G111" s="36"/>
      <c r="H111" s="36"/>
      <c r="I111" s="36">
        <f t="shared" si="2"/>
        <v>0</v>
      </c>
      <c r="J111" s="10"/>
      <c r="K111" s="36"/>
      <c r="L111" s="10"/>
      <c r="M111" s="97" t="str">
        <f>HYPERLINK("https://www.youtube.com/watch?v=oX_hPHnYgMA","Video Solution - Dr Mostafa Saad")</f>
        <v>Video Solution - Dr Mostafa Saad</v>
      </c>
    </row>
    <row r="112" spans="1:13" ht="25" customHeight="1">
      <c r="A112" s="60" t="s">
        <v>268</v>
      </c>
      <c r="B112" s="98" t="str">
        <f>HYPERLINK("http://codeforces.com/contest/579/problem/A","CF579-D2-A")</f>
        <v>CF579-D2-A</v>
      </c>
      <c r="C112" s="36"/>
      <c r="D112" s="36"/>
      <c r="E112" s="36"/>
      <c r="F112" s="36"/>
      <c r="G112" s="36"/>
      <c r="H112" s="36"/>
      <c r="I112" s="36">
        <f t="shared" si="2"/>
        <v>0</v>
      </c>
      <c r="J112" s="10"/>
      <c r="K112" s="36"/>
      <c r="L112" s="10"/>
      <c r="M112" s="82" t="str">
        <f>HYPERLINK("https://www.youtube.com/watch?v=UWMDrh1shXg","Video Solution - Eng Ahmed Rafaat (Python)")</f>
        <v>Video Solution - Eng Ahmed Rafaat (Python)</v>
      </c>
    </row>
    <row r="113" spans="1:13" ht="25" customHeight="1">
      <c r="A113" s="60" t="s">
        <v>269</v>
      </c>
      <c r="B113" s="98" t="str">
        <f>HYPERLINK("https://codeforces.com/contest/1204/problem/A","CF1204-D2-A")</f>
        <v>CF1204-D2-A</v>
      </c>
      <c r="C113" s="36"/>
      <c r="D113" s="36"/>
      <c r="E113" s="36"/>
      <c r="F113" s="36"/>
      <c r="G113" s="36"/>
      <c r="H113" s="36"/>
      <c r="I113" s="36">
        <f t="shared" si="2"/>
        <v>0</v>
      </c>
      <c r="J113" s="10"/>
      <c r="K113" s="36"/>
      <c r="L113" s="10"/>
      <c r="M113" s="94" t="str">
        <f>HYPERLINK("https://www.youtube.com/watch?v=4ITr6GaZP","Video Solution - Dr Mostafa Saad")</f>
        <v>Video Solution - Dr Mostafa Saad</v>
      </c>
    </row>
    <row r="114" spans="1:13" ht="25" customHeight="1">
      <c r="A114" s="60" t="s">
        <v>270</v>
      </c>
      <c r="B114" s="99" t="str">
        <f>HYPERLINK("https://codeforces.com/contest/1237/problem/A","CF1237-D12-A")</f>
        <v>CF1237-D12-A</v>
      </c>
      <c r="C114" s="36"/>
      <c r="D114" s="36"/>
      <c r="E114" s="36"/>
      <c r="F114" s="36"/>
      <c r="G114" s="36"/>
      <c r="H114" s="36"/>
      <c r="I114" s="36">
        <f t="shared" si="2"/>
        <v>0</v>
      </c>
      <c r="J114" s="10"/>
      <c r="K114" s="36"/>
      <c r="L114" s="10"/>
      <c r="M114" s="49"/>
    </row>
    <row r="115" spans="1:13" ht="25" customHeight="1">
      <c r="A115" s="49"/>
      <c r="B115" s="90"/>
      <c r="C115" s="36"/>
      <c r="D115" s="36"/>
      <c r="E115" s="36"/>
      <c r="F115" s="36"/>
      <c r="G115" s="36"/>
      <c r="H115" s="36"/>
      <c r="I115" s="36">
        <f t="shared" si="2"/>
        <v>0</v>
      </c>
      <c r="J115" s="93"/>
      <c r="K115" s="36"/>
      <c r="L115" s="93"/>
      <c r="M115" s="47"/>
    </row>
    <row r="116" spans="1:13" ht="25" customHeight="1">
      <c r="A116" s="49"/>
      <c r="B116" s="90"/>
      <c r="C116" s="36"/>
      <c r="D116" s="36"/>
      <c r="E116" s="36"/>
      <c r="F116" s="36"/>
      <c r="G116" s="36"/>
      <c r="H116" s="36"/>
      <c r="I116" s="36">
        <f t="shared" si="2"/>
        <v>0</v>
      </c>
      <c r="J116" s="93"/>
      <c r="K116" s="36"/>
      <c r="L116" s="93"/>
      <c r="M116" s="47" t="str">
        <f>HYPERLINK("https://www.youtube.com/watch?v=2G7RzlxTNPo","Watch - Search Techniques - Binary Search")</f>
        <v>Watch - Search Techniques - Binary Search</v>
      </c>
    </row>
    <row r="117" spans="1:13" ht="25" customHeight="1">
      <c r="A117" s="74" t="s">
        <v>271</v>
      </c>
      <c r="B117" s="75" t="str">
        <f>HYPERLINK("https://uva.onlinejudge.org/index.php?option=com_onlinejudge&amp;Itemid=8&amp;page=show_problem&amp;problem=1552","UVA 10611")</f>
        <v>UVA 10611</v>
      </c>
      <c r="C117" s="36"/>
      <c r="D117" s="36"/>
      <c r="E117" s="36"/>
      <c r="F117" s="36"/>
      <c r="G117" s="36"/>
      <c r="H117" s="36"/>
      <c r="I117" s="36">
        <f t="shared" si="2"/>
        <v>0</v>
      </c>
      <c r="J117" s="10"/>
      <c r="K117" s="36"/>
      <c r="L117" s="10"/>
      <c r="M117" s="76" t="str">
        <f>HYPERLINK("https://www.youtube.com/watch?v=OsfeunBJFzw","Video Solution - Eng Ayman Salah")</f>
        <v>Video Solution - Eng Ayman Salah</v>
      </c>
    </row>
    <row r="118" spans="1:13" ht="25" customHeight="1">
      <c r="A118" s="91" t="s">
        <v>272</v>
      </c>
      <c r="B118" s="100" t="str">
        <f>HYPERLINK("http://codeforces.com/contest/287/problem/B","CF287-D2-B")</f>
        <v>CF287-D2-B</v>
      </c>
      <c r="C118" s="36"/>
      <c r="D118" s="36"/>
      <c r="E118" s="36"/>
      <c r="F118" s="36"/>
      <c r="G118" s="36"/>
      <c r="H118" s="36"/>
      <c r="I118" s="36">
        <f t="shared" si="2"/>
        <v>0</v>
      </c>
      <c r="J118" s="93"/>
      <c r="K118" s="36"/>
      <c r="L118" s="93"/>
      <c r="M118" s="94" t="str">
        <f>HYPERLINK("https://www.youtube.com/watch?v=mhrz7F01Vqs","Video Solution - Dr Mostafa Saad")</f>
        <v>Video Solution - Dr Mostafa Saad</v>
      </c>
    </row>
    <row r="119" spans="1:13" ht="25" customHeight="1">
      <c r="A119" s="91" t="s">
        <v>273</v>
      </c>
      <c r="B119" s="101" t="str">
        <f>HYPERLINK("https://codeforces.com/contest/165/problem/B","CF165-D2-B")</f>
        <v>CF165-D2-B</v>
      </c>
      <c r="C119" s="36"/>
      <c r="D119" s="36"/>
      <c r="E119" s="36"/>
      <c r="F119" s="36"/>
      <c r="G119" s="36"/>
      <c r="H119" s="36"/>
      <c r="I119" s="36">
        <f t="shared" si="2"/>
        <v>0</v>
      </c>
      <c r="J119" s="10"/>
      <c r="K119" s="36"/>
      <c r="L119" s="10"/>
      <c r="M119" s="53"/>
    </row>
    <row r="120" spans="1:13" ht="25" customHeight="1">
      <c r="A120" s="91" t="s">
        <v>274</v>
      </c>
      <c r="B120" s="92" t="str">
        <f>HYPERLINK("http://www.spoj.com/problems/AGGRCOW/","SPOJ AGGRCOW")</f>
        <v>SPOJ AGGRCOW</v>
      </c>
      <c r="C120" s="36"/>
      <c r="D120" s="36"/>
      <c r="E120" s="36"/>
      <c r="F120" s="36"/>
      <c r="G120" s="36"/>
      <c r="H120" s="36"/>
      <c r="I120" s="36">
        <f t="shared" si="2"/>
        <v>0</v>
      </c>
      <c r="J120" s="10"/>
      <c r="K120" s="36"/>
      <c r="L120" s="10"/>
      <c r="M120" s="54" t="str">
        <f>HYPERLINK("https://www.youtube.com/watch?v=2R9L6mVal9U","Video Solution - Eng Youssef El Ghareeb")</f>
        <v>Video Solution - Eng Youssef El Ghareeb</v>
      </c>
    </row>
    <row r="121" spans="1:13" ht="25" customHeight="1">
      <c r="A121" s="102"/>
      <c r="B121" s="103"/>
      <c r="C121" s="104"/>
      <c r="D121" s="104"/>
      <c r="E121" s="104"/>
      <c r="F121" s="104"/>
      <c r="G121" s="104"/>
      <c r="H121" s="104"/>
      <c r="I121" s="104">
        <f>SUM(E121:G121)</f>
        <v>0</v>
      </c>
      <c r="J121" s="104"/>
      <c r="K121" s="104"/>
      <c r="L121" s="104"/>
      <c r="M121" s="102"/>
    </row>
    <row r="122" spans="1:13" ht="25" customHeight="1">
      <c r="A122" s="40"/>
      <c r="B122" s="41"/>
      <c r="C122" s="36"/>
      <c r="D122" s="389" t="s">
        <v>275</v>
      </c>
      <c r="E122" s="365"/>
      <c r="F122" s="365"/>
      <c r="G122" s="365"/>
      <c r="H122" s="36"/>
      <c r="I122" s="36">
        <f>SUM(E122:G122)</f>
        <v>0</v>
      </c>
      <c r="J122" s="390" t="s">
        <v>276</v>
      </c>
      <c r="K122" s="365"/>
      <c r="L122" s="365"/>
      <c r="M122" s="365"/>
    </row>
    <row r="123" spans="1:13" ht="25" customHeight="1">
      <c r="A123" s="102"/>
      <c r="B123" s="103"/>
      <c r="C123" s="104"/>
      <c r="D123" s="104"/>
      <c r="E123" s="104"/>
      <c r="F123" s="104"/>
      <c r="G123" s="104"/>
      <c r="H123" s="104"/>
      <c r="I123" s="104">
        <f>SUM(E123:G123)</f>
        <v>0</v>
      </c>
      <c r="J123" s="104"/>
      <c r="K123" s="104"/>
      <c r="L123" s="104"/>
      <c r="M123" s="102"/>
    </row>
    <row r="124" spans="1:13" ht="25" customHeight="1">
      <c r="A124" s="56" t="s">
        <v>277</v>
      </c>
      <c r="B124" s="63" t="str">
        <f>HYPERLINK("http://codeforces.com/contest/281/problem/A","CF281-D2-A")</f>
        <v>CF281-D2-A</v>
      </c>
      <c r="C124" s="10"/>
      <c r="D124" s="10"/>
      <c r="E124" s="10"/>
      <c r="F124" s="10"/>
      <c r="G124" s="10"/>
      <c r="H124" s="10"/>
      <c r="I124" s="36">
        <f t="shared" ref="I124:I250" si="3">SUM(E124:H124)</f>
        <v>0</v>
      </c>
      <c r="J124" s="10"/>
      <c r="K124" s="10"/>
      <c r="L124" s="10"/>
      <c r="M124" s="62" t="str">
        <f>HYPERLINK("https://www.youtube.com/watch?v=GctpZIJ8xBA","Video Solution - Solver to be (Java)")</f>
        <v>Video Solution - Solver to be (Java)</v>
      </c>
    </row>
    <row r="125" spans="1:13" ht="25" customHeight="1">
      <c r="A125" s="56" t="s">
        <v>278</v>
      </c>
      <c r="B125" s="63" t="str">
        <f>HYPERLINK("http://codeforces.com/contest/158/problem/A","CF158-D12-A")</f>
        <v>CF158-D12-A</v>
      </c>
      <c r="C125" s="10"/>
      <c r="D125" s="10"/>
      <c r="E125" s="10"/>
      <c r="F125" s="10"/>
      <c r="G125" s="10"/>
      <c r="H125" s="10"/>
      <c r="I125" s="36">
        <f t="shared" si="3"/>
        <v>0</v>
      </c>
      <c r="J125" s="10"/>
      <c r="K125" s="10"/>
      <c r="L125" s="10"/>
      <c r="M125" s="70" t="str">
        <f>HYPERLINK("https://www.youtube.com/watch?v=jwF2F5D8j9o","Video Solution - Solver to be (Java)")</f>
        <v>Video Solution - Solver to be (Java)</v>
      </c>
    </row>
    <row r="126" spans="1:13" ht="25" customHeight="1">
      <c r="A126" s="56" t="s">
        <v>279</v>
      </c>
      <c r="B126" s="63" t="str">
        <f>HYPERLINK("http://codeforces.com/contest/69/problem/A","CF69-D2-A")</f>
        <v>CF69-D2-A</v>
      </c>
      <c r="C126" s="10"/>
      <c r="D126" s="10"/>
      <c r="E126" s="10"/>
      <c r="F126" s="10"/>
      <c r="G126" s="10"/>
      <c r="H126" s="10"/>
      <c r="I126" s="36">
        <f t="shared" si="3"/>
        <v>0</v>
      </c>
      <c r="J126" s="10"/>
      <c r="K126" s="10"/>
      <c r="L126" s="10"/>
      <c r="M126" s="70" t="str">
        <f>HYPERLINK("https://www.youtube.com/watch?v=L8pMTIq7DFM","Video Solution - Solver to be (Java)")</f>
        <v>Video Solution - Solver to be (Java)</v>
      </c>
    </row>
    <row r="127" spans="1:13" ht="25" customHeight="1">
      <c r="A127" s="56" t="s">
        <v>280</v>
      </c>
      <c r="B127" s="63" t="str">
        <f>HYPERLINK("http://codeforces.com/contest/282/problem/A","CF282-D2-A")</f>
        <v>CF282-D2-A</v>
      </c>
      <c r="C127" s="10"/>
      <c r="D127" s="10"/>
      <c r="E127" s="10"/>
      <c r="F127" s="10"/>
      <c r="G127" s="10"/>
      <c r="H127" s="10"/>
      <c r="I127" s="36">
        <f t="shared" si="3"/>
        <v>0</v>
      </c>
      <c r="J127" s="10"/>
      <c r="K127" s="10"/>
      <c r="L127" s="10"/>
      <c r="M127" s="70" t="str">
        <f>HYPERLINK("https://www.youtube.com/watch?v=5TyT1RIv3wM","Video Solution - Solver to be (Java)")</f>
        <v>Video Solution - Solver to be (Java)</v>
      </c>
    </row>
    <row r="128" spans="1:13" ht="25" customHeight="1">
      <c r="A128" s="56" t="s">
        <v>281</v>
      </c>
      <c r="B128" s="63" t="str">
        <f>HYPERLINK("http://codeforces.com/contest/556/problem/A","CF556-D2-A")</f>
        <v>CF556-D2-A</v>
      </c>
      <c r="C128" s="10"/>
      <c r="D128" s="10"/>
      <c r="E128" s="10"/>
      <c r="F128" s="10"/>
      <c r="G128" s="10"/>
      <c r="H128" s="10"/>
      <c r="I128" s="36">
        <f t="shared" si="3"/>
        <v>0</v>
      </c>
      <c r="J128" s="10"/>
      <c r="K128" s="10"/>
      <c r="L128" s="10"/>
      <c r="M128" s="70" t="str">
        <f>HYPERLINK("https://www.youtube.com/watch?v=rud5ZbfjBxg","Video Solution - Solver to be (Java)")</f>
        <v>Video Solution - Solver to be (Java)</v>
      </c>
    </row>
    <row r="129" spans="1:13" ht="25" customHeight="1">
      <c r="A129" s="56" t="s">
        <v>282</v>
      </c>
      <c r="B129" s="63" t="str">
        <f>HYPERLINK("http://codeforces.com/contest/41/problem/A","CF41-D2-A")</f>
        <v>CF41-D2-A</v>
      </c>
      <c r="C129" s="10"/>
      <c r="D129" s="10"/>
      <c r="E129" s="10"/>
      <c r="F129" s="10"/>
      <c r="G129" s="10"/>
      <c r="H129" s="10"/>
      <c r="I129" s="36">
        <f t="shared" si="3"/>
        <v>0</v>
      </c>
      <c r="J129" s="10"/>
      <c r="K129" s="10"/>
      <c r="L129" s="10"/>
      <c r="M129" s="70" t="str">
        <f>HYPERLINK("https://www.youtube.com/watch?v=2rXyyB_2zX8","Video Solution - Solver to be (Java)")</f>
        <v>Video Solution - Solver to be (Java)</v>
      </c>
    </row>
    <row r="130" spans="1:13" ht="25" customHeight="1">
      <c r="A130" s="56" t="s">
        <v>283</v>
      </c>
      <c r="B130" s="63" t="str">
        <f>HYPERLINK("http://codeforces.com/contest/118/problem/A","CF118-D2-A")</f>
        <v>CF118-D2-A</v>
      </c>
      <c r="C130" s="10"/>
      <c r="D130" s="10"/>
      <c r="E130" s="10"/>
      <c r="F130" s="10"/>
      <c r="G130" s="10"/>
      <c r="H130" s="10"/>
      <c r="I130" s="36">
        <f t="shared" si="3"/>
        <v>0</v>
      </c>
      <c r="J130" s="10"/>
      <c r="K130" s="10"/>
      <c r="L130" s="10"/>
      <c r="M130" s="70" t="str">
        <f>HYPERLINK("https://www.youtube.com/watch?v=fiYo2lKksN0","Video Solution - Solver to be (Java)")</f>
        <v>Video Solution - Solver to be (Java)</v>
      </c>
    </row>
    <row r="131" spans="1:13" ht="25" customHeight="1">
      <c r="A131" s="56" t="s">
        <v>284</v>
      </c>
      <c r="B131" s="57" t="str">
        <f>HYPERLINK("http://codeforces.com/contest/456/problem/A","CF456-D2-A")</f>
        <v>CF456-D2-A</v>
      </c>
      <c r="C131" s="10"/>
      <c r="D131" s="10"/>
      <c r="E131" s="10"/>
      <c r="F131" s="10"/>
      <c r="G131" s="10"/>
      <c r="H131" s="10"/>
      <c r="I131" s="36">
        <f t="shared" si="3"/>
        <v>0</v>
      </c>
      <c r="J131" s="10"/>
      <c r="K131" s="10"/>
      <c r="L131" s="10"/>
      <c r="M131" s="70" t="str">
        <f>HYPERLINK("https://www.youtube.com/watch?v=_Ab4PUC2vMk","Video Solution - Solver to be (Java)")</f>
        <v>Video Solution - Solver to be (Java)</v>
      </c>
    </row>
    <row r="132" spans="1:13" ht="25" customHeight="1">
      <c r="A132" s="49" t="s">
        <v>285</v>
      </c>
      <c r="B132" s="98" t="str">
        <f>HYPERLINK("http://codeforces.com/contest/950/problem/A","CF950-D2-A")</f>
        <v>CF950-D2-A</v>
      </c>
      <c r="C132" s="36"/>
      <c r="D132" s="36"/>
      <c r="E132" s="36"/>
      <c r="F132" s="36"/>
      <c r="G132" s="36"/>
      <c r="H132" s="36"/>
      <c r="I132" s="36">
        <f t="shared" si="3"/>
        <v>0</v>
      </c>
      <c r="J132" s="105"/>
      <c r="K132" s="36"/>
      <c r="L132" s="105"/>
      <c r="M132" s="94" t="str">
        <f>HYPERLINK("https://www.youtube.com/watch?v=YQ48TRf4-T8&amp;feature=youtu.be","Video Solution - Eng Hossam Yehia")</f>
        <v>Video Solution - Eng Hossam Yehia</v>
      </c>
    </row>
    <row r="133" spans="1:13" ht="25" customHeight="1">
      <c r="A133" s="49" t="s">
        <v>286</v>
      </c>
      <c r="B133" s="106" t="str">
        <f>HYPERLINK("http://codeforces.com/contest/467/problem/A","CF467-D2-A")</f>
        <v>CF467-D2-A</v>
      </c>
      <c r="C133" s="36"/>
      <c r="D133" s="36"/>
      <c r="E133" s="36"/>
      <c r="F133" s="36"/>
      <c r="G133" s="36"/>
      <c r="H133" s="36"/>
      <c r="I133" s="36">
        <f t="shared" si="3"/>
        <v>0</v>
      </c>
      <c r="J133" s="105"/>
      <c r="K133" s="36"/>
      <c r="L133" s="105"/>
      <c r="M133" s="82" t="str">
        <f>HYPERLINK("https://www.youtube.com/watch?v=ueGooXZFeTE","Video Solution - Eng Ahmed Rafaat (Python)")</f>
        <v>Video Solution - Eng Ahmed Rafaat (Python)</v>
      </c>
    </row>
    <row r="134" spans="1:13" ht="25" customHeight="1">
      <c r="A134" s="56" t="s">
        <v>287</v>
      </c>
      <c r="B134" s="57" t="str">
        <f>HYPERLINK("http://codeforces.com/contest/525/problem/A","CF525-D2-A")</f>
        <v>CF525-D2-A</v>
      </c>
      <c r="C134" s="10"/>
      <c r="D134" s="10"/>
      <c r="E134" s="10"/>
      <c r="F134" s="10"/>
      <c r="G134" s="10"/>
      <c r="H134" s="10"/>
      <c r="I134" s="67">
        <f t="shared" si="3"/>
        <v>0</v>
      </c>
      <c r="J134" s="10"/>
      <c r="K134" s="10"/>
      <c r="L134" s="10"/>
      <c r="M134" s="76" t="s">
        <v>288</v>
      </c>
    </row>
    <row r="135" spans="1:13" ht="25" customHeight="1">
      <c r="A135" s="49" t="s">
        <v>289</v>
      </c>
      <c r="B135" s="106" t="str">
        <f>HYPERLINK("http://codeforces.com/contest/581/problem/A","CF581-D2-A")</f>
        <v>CF581-D2-A</v>
      </c>
      <c r="C135" s="36"/>
      <c r="D135" s="36"/>
      <c r="E135" s="36"/>
      <c r="F135" s="36"/>
      <c r="G135" s="36"/>
      <c r="H135" s="36"/>
      <c r="I135" s="36">
        <f t="shared" si="3"/>
        <v>0</v>
      </c>
      <c r="J135" s="105"/>
      <c r="K135" s="36"/>
      <c r="L135" s="105"/>
      <c r="M135" s="107" t="s">
        <v>288</v>
      </c>
    </row>
    <row r="136" spans="1:13" ht="25" customHeight="1">
      <c r="A136" s="49" t="s">
        <v>290</v>
      </c>
      <c r="B136" s="106" t="str">
        <f>HYPERLINK("http://codeforces.com/contest/510/problem/A","CF510-D2-A")</f>
        <v>CF510-D2-A</v>
      </c>
      <c r="C136" s="36"/>
      <c r="D136" s="36"/>
      <c r="E136" s="36"/>
      <c r="F136" s="36"/>
      <c r="G136" s="36"/>
      <c r="H136" s="36"/>
      <c r="I136" s="36">
        <f t="shared" si="3"/>
        <v>0</v>
      </c>
      <c r="J136" s="105"/>
      <c r="K136" s="36"/>
      <c r="L136" s="105"/>
      <c r="M136" s="40"/>
    </row>
    <row r="137" spans="1:13" ht="25" customHeight="1">
      <c r="A137" s="49" t="s">
        <v>291</v>
      </c>
      <c r="B137" s="106" t="str">
        <f>HYPERLINK("http://codeforces.com/contest/723/problem/A","CF723-D2-A")</f>
        <v>CF723-D2-A</v>
      </c>
      <c r="C137" s="36"/>
      <c r="D137" s="36"/>
      <c r="E137" s="36"/>
      <c r="F137" s="36"/>
      <c r="G137" s="36"/>
      <c r="H137" s="36"/>
      <c r="I137" s="36">
        <f t="shared" si="3"/>
        <v>0</v>
      </c>
      <c r="J137" s="105"/>
      <c r="K137" s="36"/>
      <c r="L137" s="105"/>
      <c r="M137" s="107" t="s">
        <v>288</v>
      </c>
    </row>
    <row r="138" spans="1:13" ht="25" customHeight="1">
      <c r="A138" s="49" t="s">
        <v>292</v>
      </c>
      <c r="B138" s="106" t="str">
        <f>HYPERLINK("http://codeforces.com/contest/617/problem/A","CF617-D2-A")</f>
        <v>CF617-D2-A</v>
      </c>
      <c r="C138" s="36"/>
      <c r="D138" s="36"/>
      <c r="E138" s="36"/>
      <c r="F138" s="36"/>
      <c r="G138" s="36"/>
      <c r="H138" s="36"/>
      <c r="I138" s="36">
        <f t="shared" si="3"/>
        <v>0</v>
      </c>
      <c r="J138" s="105"/>
      <c r="K138" s="36"/>
      <c r="L138" s="105"/>
      <c r="M138" s="107" t="s">
        <v>288</v>
      </c>
    </row>
    <row r="139" spans="1:13" ht="25" customHeight="1">
      <c r="A139" s="49" t="s">
        <v>293</v>
      </c>
      <c r="B139" s="106" t="str">
        <f>HYPERLINK("http://codeforces.com/contest/255/problem/A","CF255-D2-A")</f>
        <v>CF255-D2-A</v>
      </c>
      <c r="C139" s="36"/>
      <c r="D139" s="36"/>
      <c r="E139" s="36"/>
      <c r="F139" s="36"/>
      <c r="G139" s="36"/>
      <c r="H139" s="36"/>
      <c r="I139" s="36">
        <f t="shared" si="3"/>
        <v>0</v>
      </c>
      <c r="J139" s="105"/>
      <c r="K139" s="36"/>
      <c r="L139" s="105"/>
      <c r="M139" s="107" t="s">
        <v>288</v>
      </c>
    </row>
    <row r="140" spans="1:13" ht="25" customHeight="1">
      <c r="A140" s="49" t="s">
        <v>294</v>
      </c>
      <c r="B140" s="106" t="str">
        <f>HYPERLINK("http://codeforces.com/contest/61/problem/A","CF61-D2-A")</f>
        <v>CF61-D2-A</v>
      </c>
      <c r="C140" s="36"/>
      <c r="D140" s="36"/>
      <c r="E140" s="36"/>
      <c r="F140" s="36"/>
      <c r="G140" s="36"/>
      <c r="H140" s="36"/>
      <c r="I140" s="36">
        <f t="shared" si="3"/>
        <v>0</v>
      </c>
      <c r="J140" s="105"/>
      <c r="K140" s="36"/>
      <c r="L140" s="105"/>
      <c r="M140" s="107" t="s">
        <v>288</v>
      </c>
    </row>
    <row r="141" spans="1:13" ht="25" customHeight="1">
      <c r="A141" s="49" t="s">
        <v>295</v>
      </c>
      <c r="B141" s="106" t="str">
        <f>HYPERLINK("http://codeforces.com/contest/454/problem/A","CF454-D2-A")</f>
        <v>CF454-D2-A</v>
      </c>
      <c r="C141" s="36"/>
      <c r="D141" s="36"/>
      <c r="E141" s="36"/>
      <c r="F141" s="36"/>
      <c r="G141" s="36"/>
      <c r="H141" s="36"/>
      <c r="I141" s="36">
        <f t="shared" si="3"/>
        <v>0</v>
      </c>
      <c r="J141" s="105"/>
      <c r="K141" s="36"/>
      <c r="L141" s="105"/>
      <c r="M141" s="107" t="s">
        <v>288</v>
      </c>
    </row>
    <row r="142" spans="1:13" ht="25" customHeight="1">
      <c r="A142" s="49" t="s">
        <v>296</v>
      </c>
      <c r="B142" s="106" t="str">
        <f>HYPERLINK("http://codeforces.com/contest/721/problem/A","CF721-D2-A")</f>
        <v>CF721-D2-A</v>
      </c>
      <c r="C142" s="36"/>
      <c r="D142" s="36"/>
      <c r="E142" s="36"/>
      <c r="F142" s="36"/>
      <c r="G142" s="36"/>
      <c r="H142" s="36"/>
      <c r="I142" s="36">
        <f t="shared" si="3"/>
        <v>0</v>
      </c>
      <c r="J142" s="105"/>
      <c r="K142" s="36"/>
      <c r="L142" s="105"/>
      <c r="M142" s="40"/>
    </row>
    <row r="143" spans="1:13" ht="25" customHeight="1">
      <c r="A143" s="49" t="s">
        <v>297</v>
      </c>
      <c r="B143" s="106" t="str">
        <f>HYPERLINK("http://codeforces.com/contest/546/problem/A","CF546-D2-A")</f>
        <v>CF546-D2-A</v>
      </c>
      <c r="C143" s="36"/>
      <c r="D143" s="36"/>
      <c r="E143" s="36"/>
      <c r="F143" s="36"/>
      <c r="G143" s="36"/>
      <c r="H143" s="36"/>
      <c r="I143" s="36">
        <f t="shared" si="3"/>
        <v>0</v>
      </c>
      <c r="J143" s="105"/>
      <c r="K143" s="36"/>
      <c r="L143" s="105"/>
      <c r="M143" s="107" t="s">
        <v>288</v>
      </c>
    </row>
    <row r="144" spans="1:13" ht="25" customHeight="1">
      <c r="A144" s="49"/>
      <c r="B144" s="90"/>
      <c r="C144" s="36"/>
      <c r="D144" s="36"/>
      <c r="E144" s="36"/>
      <c r="F144" s="36"/>
      <c r="G144" s="36"/>
      <c r="H144" s="36"/>
      <c r="I144" s="36">
        <f t="shared" si="3"/>
        <v>0</v>
      </c>
      <c r="J144" s="105"/>
      <c r="K144" s="36"/>
      <c r="L144" s="105"/>
      <c r="M144" s="40"/>
    </row>
    <row r="145" spans="1:13" ht="25" customHeight="1">
      <c r="A145" s="49" t="s">
        <v>298</v>
      </c>
      <c r="B145" s="106" t="str">
        <f>HYPERLINK("http://codeforces.com/contest/711/problem/A","CF711-D2-A")</f>
        <v>CF711-D2-A</v>
      </c>
      <c r="C145" s="36"/>
      <c r="D145" s="36"/>
      <c r="E145" s="36"/>
      <c r="F145" s="36"/>
      <c r="G145" s="36"/>
      <c r="H145" s="36"/>
      <c r="I145" s="36">
        <f t="shared" si="3"/>
        <v>0</v>
      </c>
      <c r="J145" s="105"/>
      <c r="K145" s="36"/>
      <c r="L145" s="105"/>
      <c r="M145" s="40"/>
    </row>
    <row r="146" spans="1:13" ht="25" customHeight="1">
      <c r="A146" s="56" t="s">
        <v>299</v>
      </c>
      <c r="B146" s="57" t="str">
        <f>HYPERLINK("http://codeforces.com/contest/129/problem/A","CF129-D2-A")</f>
        <v>CF129-D2-A</v>
      </c>
      <c r="C146" s="36"/>
      <c r="D146" s="36"/>
      <c r="E146" s="36"/>
      <c r="F146" s="36"/>
      <c r="G146" s="36"/>
      <c r="H146" s="36"/>
      <c r="I146" s="36">
        <f t="shared" si="3"/>
        <v>0</v>
      </c>
      <c r="J146" s="105"/>
      <c r="K146" s="36"/>
      <c r="L146" s="105"/>
      <c r="M146" s="107" t="s">
        <v>288</v>
      </c>
    </row>
    <row r="147" spans="1:13" ht="25" customHeight="1">
      <c r="A147" s="65" t="s">
        <v>300</v>
      </c>
      <c r="B147" s="50" t="str">
        <f>HYPERLINK("http://codeforces.com/contest/22/problem/A","CF22-D2-A")</f>
        <v>CF22-D2-A</v>
      </c>
      <c r="C147" s="36"/>
      <c r="D147" s="36"/>
      <c r="E147" s="36"/>
      <c r="F147" s="36"/>
      <c r="G147" s="36"/>
      <c r="H147" s="36"/>
      <c r="I147" s="36">
        <f t="shared" si="3"/>
        <v>0</v>
      </c>
      <c r="J147" s="105"/>
      <c r="K147" s="36"/>
      <c r="L147" s="105"/>
      <c r="M147" s="107" t="s">
        <v>288</v>
      </c>
    </row>
    <row r="148" spans="1:13" ht="25" customHeight="1">
      <c r="A148" s="65" t="s">
        <v>301</v>
      </c>
      <c r="B148" s="50" t="str">
        <f>HYPERLINK("http://codeforces.com/contest/110/problem/A","CF110-D2-A")</f>
        <v>CF110-D2-A</v>
      </c>
      <c r="C148" s="36"/>
      <c r="D148" s="36"/>
      <c r="E148" s="36"/>
      <c r="F148" s="36"/>
      <c r="G148" s="36"/>
      <c r="H148" s="36"/>
      <c r="I148" s="36">
        <f t="shared" si="3"/>
        <v>0</v>
      </c>
      <c r="J148" s="105"/>
      <c r="K148" s="36"/>
      <c r="L148" s="105"/>
      <c r="M148" s="107" t="s">
        <v>288</v>
      </c>
    </row>
    <row r="149" spans="1:13" ht="25" customHeight="1">
      <c r="A149" s="49" t="s">
        <v>302</v>
      </c>
      <c r="B149" s="106" t="str">
        <f>HYPERLINK("http://codeforces.com/contest/378/problem/A","CF378-D2-A")</f>
        <v>CF378-D2-A</v>
      </c>
      <c r="C149" s="36"/>
      <c r="D149" s="36"/>
      <c r="E149" s="36"/>
      <c r="F149" s="36"/>
      <c r="G149" s="36"/>
      <c r="H149" s="36"/>
      <c r="I149" s="36">
        <f t="shared" si="3"/>
        <v>0</v>
      </c>
      <c r="J149" s="105"/>
      <c r="K149" s="36"/>
      <c r="L149" s="105"/>
      <c r="M149" s="107" t="s">
        <v>288</v>
      </c>
    </row>
    <row r="150" spans="1:13" ht="25" customHeight="1">
      <c r="A150" s="65" t="s">
        <v>303</v>
      </c>
      <c r="B150" s="50" t="str">
        <f>HYPERLINK("http://codeforces.com/contest/681/problem/A","CF681-D2-A")</f>
        <v>CF681-D2-A</v>
      </c>
      <c r="C150" s="36"/>
      <c r="D150" s="36"/>
      <c r="E150" s="36"/>
      <c r="F150" s="36"/>
      <c r="G150" s="36"/>
      <c r="H150" s="36"/>
      <c r="I150" s="36">
        <f t="shared" si="3"/>
        <v>0</v>
      </c>
      <c r="J150" s="105"/>
      <c r="K150" s="36"/>
      <c r="L150" s="105"/>
      <c r="M150" s="40"/>
    </row>
    <row r="151" spans="1:13" ht="25" customHeight="1">
      <c r="A151" s="49" t="s">
        <v>304</v>
      </c>
      <c r="B151" s="106" t="str">
        <f>HYPERLINK("http://codeforces.com/contest/271/problem/A","CF271-D2-A")</f>
        <v>CF271-D2-A</v>
      </c>
      <c r="C151" s="36"/>
      <c r="D151" s="36"/>
      <c r="E151" s="36"/>
      <c r="F151" s="36"/>
      <c r="G151" s="36"/>
      <c r="H151" s="36"/>
      <c r="I151" s="36">
        <f t="shared" si="3"/>
        <v>0</v>
      </c>
      <c r="J151" s="105"/>
      <c r="K151" s="36"/>
      <c r="L151" s="105"/>
      <c r="M151" s="40"/>
    </row>
    <row r="152" spans="1:13" ht="25" customHeight="1">
      <c r="A152" s="49" t="s">
        <v>305</v>
      </c>
      <c r="B152" s="106" t="str">
        <f>HYPERLINK("http://codeforces.com/contest/629/problem/A","CF629-D2-A")</f>
        <v>CF629-D2-A</v>
      </c>
      <c r="C152" s="36"/>
      <c r="D152" s="36"/>
      <c r="E152" s="36"/>
      <c r="F152" s="36"/>
      <c r="G152" s="36"/>
      <c r="H152" s="36"/>
      <c r="I152" s="36">
        <f t="shared" si="3"/>
        <v>0</v>
      </c>
      <c r="J152" s="105"/>
      <c r="K152" s="36"/>
      <c r="L152" s="105"/>
      <c r="M152" s="40"/>
    </row>
    <row r="153" spans="1:13" ht="25" customHeight="1">
      <c r="A153" s="49" t="s">
        <v>306</v>
      </c>
      <c r="B153" s="106" t="str">
        <f>HYPERLINK("http://codeforces.com/contest/415/problem/A","CF415-D2-A")</f>
        <v>CF415-D2-A</v>
      </c>
      <c r="C153" s="36"/>
      <c r="D153" s="36"/>
      <c r="E153" s="36"/>
      <c r="F153" s="36"/>
      <c r="G153" s="36"/>
      <c r="H153" s="36"/>
      <c r="I153" s="36">
        <f t="shared" si="3"/>
        <v>0</v>
      </c>
      <c r="J153" s="105"/>
      <c r="K153" s="36"/>
      <c r="L153" s="105"/>
      <c r="M153" s="40"/>
    </row>
    <row r="154" spans="1:13" ht="25" customHeight="1">
      <c r="A154" s="49" t="s">
        <v>307</v>
      </c>
      <c r="B154" s="106" t="str">
        <f>HYPERLINK("http://codeforces.com/contest/47/problem/A","CF47-D2-A")</f>
        <v>CF47-D2-A</v>
      </c>
      <c r="C154" s="36"/>
      <c r="D154" s="36"/>
      <c r="E154" s="36"/>
      <c r="F154" s="36"/>
      <c r="G154" s="36"/>
      <c r="H154" s="36"/>
      <c r="I154" s="36">
        <f t="shared" si="3"/>
        <v>0</v>
      </c>
      <c r="J154" s="105"/>
      <c r="K154" s="36"/>
      <c r="L154" s="105"/>
      <c r="M154" s="107" t="s">
        <v>288</v>
      </c>
    </row>
    <row r="155" spans="1:13" ht="25" customHeight="1">
      <c r="A155" s="49"/>
      <c r="B155" s="90"/>
      <c r="C155" s="36"/>
      <c r="D155" s="36"/>
      <c r="E155" s="36"/>
      <c r="F155" s="36"/>
      <c r="G155" s="36"/>
      <c r="H155" s="36"/>
      <c r="I155" s="36">
        <f t="shared" si="3"/>
        <v>0</v>
      </c>
      <c r="J155" s="105"/>
      <c r="K155" s="36"/>
      <c r="L155" s="105"/>
      <c r="M155" s="10"/>
    </row>
    <row r="156" spans="1:13" ht="25" customHeight="1">
      <c r="A156" s="49" t="s">
        <v>308</v>
      </c>
      <c r="B156" s="106" t="str">
        <f>HYPERLINK("http://codeforces.com/contest/262/problem/A","CF262-D2-A")</f>
        <v>CF262-D2-A</v>
      </c>
      <c r="C156" s="36"/>
      <c r="D156" s="36"/>
      <c r="E156" s="36"/>
      <c r="F156" s="36"/>
      <c r="G156" s="36"/>
      <c r="H156" s="36"/>
      <c r="I156" s="36">
        <f t="shared" si="3"/>
        <v>0</v>
      </c>
      <c r="J156" s="105"/>
      <c r="K156" s="36"/>
      <c r="L156" s="105"/>
      <c r="M156" s="107" t="s">
        <v>288</v>
      </c>
    </row>
    <row r="157" spans="1:13" ht="25" customHeight="1">
      <c r="A157" s="49" t="s">
        <v>309</v>
      </c>
      <c r="B157" s="106" t="str">
        <f>HYPERLINK("http://codeforces.com/contest/84/problem/A","CF84-D2-A")</f>
        <v>CF84-D2-A</v>
      </c>
      <c r="C157" s="36"/>
      <c r="D157" s="36"/>
      <c r="E157" s="36"/>
      <c r="F157" s="36"/>
      <c r="G157" s="36"/>
      <c r="H157" s="36"/>
      <c r="I157" s="36">
        <f t="shared" si="3"/>
        <v>0</v>
      </c>
      <c r="J157" s="105"/>
      <c r="K157" s="36"/>
      <c r="L157" s="105"/>
      <c r="M157" s="107" t="s">
        <v>288</v>
      </c>
    </row>
    <row r="158" spans="1:13" ht="25" customHeight="1">
      <c r="A158" s="49" t="s">
        <v>310</v>
      </c>
      <c r="B158" s="106" t="str">
        <f>HYPERLINK("http://codeforces.com/contest/361/problem/A","CF361-D2-A")</f>
        <v>CF361-D2-A</v>
      </c>
      <c r="C158" s="36"/>
      <c r="D158" s="36"/>
      <c r="E158" s="36"/>
      <c r="F158" s="36"/>
      <c r="G158" s="36"/>
      <c r="H158" s="36"/>
      <c r="I158" s="36">
        <f t="shared" si="3"/>
        <v>0</v>
      </c>
      <c r="J158" s="105"/>
      <c r="K158" s="36"/>
      <c r="L158" s="105"/>
      <c r="M158" s="107" t="s">
        <v>288</v>
      </c>
    </row>
    <row r="159" spans="1:13" ht="25" customHeight="1">
      <c r="A159" s="49" t="s">
        <v>311</v>
      </c>
      <c r="B159" s="106" t="str">
        <f>HYPERLINK("http://codeforces.com/contest/701/problem/A","CF701-D2-A")</f>
        <v>CF701-D2-A</v>
      </c>
      <c r="C159" s="36"/>
      <c r="D159" s="36"/>
      <c r="E159" s="36"/>
      <c r="F159" s="36"/>
      <c r="G159" s="36"/>
      <c r="H159" s="36"/>
      <c r="I159" s="36">
        <f t="shared" si="3"/>
        <v>0</v>
      </c>
      <c r="J159" s="105"/>
      <c r="K159" s="36"/>
      <c r="L159" s="105"/>
      <c r="M159" s="107" t="s">
        <v>288</v>
      </c>
    </row>
    <row r="160" spans="1:13" ht="25" customHeight="1">
      <c r="A160" s="49" t="s">
        <v>312</v>
      </c>
      <c r="B160" s="106" t="str">
        <f>HYPERLINK("http://codeforces.com/contest/591/problem/A","CF591-D2-A")</f>
        <v>CF591-D2-A</v>
      </c>
      <c r="C160" s="36"/>
      <c r="D160" s="36"/>
      <c r="E160" s="36"/>
      <c r="F160" s="36"/>
      <c r="G160" s="36"/>
      <c r="H160" s="36"/>
      <c r="I160" s="36">
        <f t="shared" si="3"/>
        <v>0</v>
      </c>
      <c r="J160" s="105"/>
      <c r="K160" s="36"/>
      <c r="L160" s="105"/>
      <c r="M160" s="107" t="s">
        <v>288</v>
      </c>
    </row>
    <row r="161" spans="1:13" ht="25" customHeight="1">
      <c r="A161" s="49" t="s">
        <v>313</v>
      </c>
      <c r="B161" s="106" t="str">
        <f>HYPERLINK("http://codeforces.com/contest/540/problem/A","CF540-D2-A")</f>
        <v>CF540-D2-A</v>
      </c>
      <c r="C161" s="36"/>
      <c r="D161" s="36"/>
      <c r="E161" s="36"/>
      <c r="F161" s="36"/>
      <c r="G161" s="36"/>
      <c r="H161" s="36"/>
      <c r="I161" s="36">
        <f t="shared" si="3"/>
        <v>0</v>
      </c>
      <c r="J161" s="105"/>
      <c r="K161" s="36"/>
      <c r="L161" s="105"/>
      <c r="M161" s="107" t="s">
        <v>288</v>
      </c>
    </row>
    <row r="162" spans="1:13" ht="25" customHeight="1">
      <c r="A162" s="49" t="s">
        <v>314</v>
      </c>
      <c r="B162" s="106" t="str">
        <f>HYPERLINK("http://codeforces.com/contest/672/problem/A","CF672-D2-A")</f>
        <v>CF672-D2-A</v>
      </c>
      <c r="C162" s="36"/>
      <c r="D162" s="36"/>
      <c r="E162" s="36"/>
      <c r="F162" s="36"/>
      <c r="G162" s="36"/>
      <c r="H162" s="36"/>
      <c r="I162" s="36">
        <f t="shared" si="3"/>
        <v>0</v>
      </c>
      <c r="J162" s="105"/>
      <c r="K162" s="36"/>
      <c r="L162" s="105"/>
      <c r="M162" s="107" t="s">
        <v>288</v>
      </c>
    </row>
    <row r="163" spans="1:13" ht="25" customHeight="1">
      <c r="A163" s="56" t="s">
        <v>315</v>
      </c>
      <c r="B163" s="57" t="str">
        <f>HYPERLINK("http://codeforces.com/contest/151/problem/A","CF151-D2-A")</f>
        <v>CF151-D2-A</v>
      </c>
      <c r="C163" s="36"/>
      <c r="D163" s="36"/>
      <c r="E163" s="36"/>
      <c r="F163" s="36"/>
      <c r="G163" s="36"/>
      <c r="H163" s="36"/>
      <c r="I163" s="36">
        <f t="shared" si="3"/>
        <v>0</v>
      </c>
      <c r="J163" s="105"/>
      <c r="K163" s="36"/>
      <c r="L163" s="105"/>
      <c r="M163" s="107" t="s">
        <v>288</v>
      </c>
    </row>
    <row r="164" spans="1:13" ht="25" customHeight="1">
      <c r="A164" s="56" t="s">
        <v>316</v>
      </c>
      <c r="B164" s="57" t="str">
        <f>HYPERLINK("http://codeforces.com/contest/384/problem/A","CF384-D2-A")</f>
        <v>CF384-D2-A</v>
      </c>
      <c r="C164" s="36"/>
      <c r="D164" s="36"/>
      <c r="E164" s="36"/>
      <c r="F164" s="36"/>
      <c r="G164" s="36"/>
      <c r="H164" s="36"/>
      <c r="I164" s="36">
        <f t="shared" si="3"/>
        <v>0</v>
      </c>
      <c r="J164" s="105"/>
      <c r="K164" s="36"/>
      <c r="L164" s="105"/>
      <c r="M164" s="10"/>
    </row>
    <row r="165" spans="1:13" ht="25" customHeight="1">
      <c r="A165" s="49" t="s">
        <v>317</v>
      </c>
      <c r="B165" s="106" t="str">
        <f>HYPERLINK("http://codeforces.com/contest/551/problem/A","CF551-D2-A")</f>
        <v>CF551-D2-A</v>
      </c>
      <c r="C165" s="36"/>
      <c r="D165" s="36"/>
      <c r="E165" s="36"/>
      <c r="F165" s="36"/>
      <c r="G165" s="36"/>
      <c r="H165" s="36"/>
      <c r="I165" s="36">
        <f t="shared" si="3"/>
        <v>0</v>
      </c>
      <c r="J165" s="105"/>
      <c r="K165" s="36"/>
      <c r="L165" s="105"/>
      <c r="M165" s="107" t="s">
        <v>288</v>
      </c>
    </row>
    <row r="166" spans="1:13" ht="25" customHeight="1">
      <c r="A166" s="49"/>
      <c r="B166" s="90"/>
      <c r="C166" s="36"/>
      <c r="D166" s="36"/>
      <c r="E166" s="36"/>
      <c r="F166" s="36"/>
      <c r="G166" s="36"/>
      <c r="H166" s="36"/>
      <c r="I166" s="36">
        <f t="shared" si="3"/>
        <v>0</v>
      </c>
      <c r="J166" s="105"/>
      <c r="K166" s="36"/>
      <c r="L166" s="105"/>
      <c r="M166" s="40"/>
    </row>
    <row r="167" spans="1:13" ht="25" customHeight="1">
      <c r="A167" s="56" t="s">
        <v>318</v>
      </c>
      <c r="B167" s="57" t="str">
        <f>HYPERLINK("http://codeforces.com/contest/278/problem/A","CF278-D2-A")</f>
        <v>CF278-D2-A</v>
      </c>
      <c r="C167" s="36"/>
      <c r="D167" s="36"/>
      <c r="E167" s="36"/>
      <c r="F167" s="36"/>
      <c r="G167" s="36"/>
      <c r="H167" s="36"/>
      <c r="I167" s="36">
        <f t="shared" si="3"/>
        <v>0</v>
      </c>
      <c r="J167" s="105"/>
      <c r="K167" s="36"/>
      <c r="L167" s="105"/>
      <c r="M167" s="40"/>
    </row>
    <row r="168" spans="1:13" ht="25" customHeight="1">
      <c r="A168" s="49" t="s">
        <v>319</v>
      </c>
      <c r="B168" s="106" t="str">
        <f>HYPERLINK("http://codeforces.com/contest/599/problem/A","CF599-D2-A")</f>
        <v>CF599-D2-A</v>
      </c>
      <c r="C168" s="36"/>
      <c r="D168" s="36"/>
      <c r="E168" s="36"/>
      <c r="F168" s="36"/>
      <c r="G168" s="36"/>
      <c r="H168" s="36"/>
      <c r="I168" s="36">
        <f t="shared" si="3"/>
        <v>0</v>
      </c>
      <c r="J168" s="105"/>
      <c r="K168" s="36"/>
      <c r="L168" s="105"/>
      <c r="M168" s="107" t="s">
        <v>288</v>
      </c>
    </row>
    <row r="169" spans="1:13" ht="25" customHeight="1">
      <c r="A169" s="49" t="s">
        <v>320</v>
      </c>
      <c r="B169" s="106" t="str">
        <f>HYPERLINK("http://codeforces.com/contest/432/problem/A","CF432-D2-A")</f>
        <v>CF432-D2-A</v>
      </c>
      <c r="C169" s="36"/>
      <c r="D169" s="36"/>
      <c r="E169" s="36"/>
      <c r="F169" s="36"/>
      <c r="G169" s="36"/>
      <c r="H169" s="36"/>
      <c r="I169" s="36">
        <f t="shared" si="3"/>
        <v>0</v>
      </c>
      <c r="J169" s="105"/>
      <c r="K169" s="36"/>
      <c r="L169" s="105"/>
      <c r="M169" s="40"/>
    </row>
    <row r="170" spans="1:13" ht="25" customHeight="1">
      <c r="A170" s="49" t="s">
        <v>321</v>
      </c>
      <c r="B170" s="106" t="str">
        <f>HYPERLINK("http://codeforces.com/contest/492/problem/A","CF492-D2-A")</f>
        <v>CF492-D2-A</v>
      </c>
      <c r="C170" s="36"/>
      <c r="D170" s="36"/>
      <c r="E170" s="36"/>
      <c r="F170" s="36"/>
      <c r="G170" s="36"/>
      <c r="H170" s="36"/>
      <c r="I170" s="36">
        <f t="shared" si="3"/>
        <v>0</v>
      </c>
      <c r="J170" s="105"/>
      <c r="K170" s="36"/>
      <c r="L170" s="105"/>
      <c r="M170" s="40"/>
    </row>
    <row r="171" spans="1:13" ht="25" customHeight="1">
      <c r="A171" s="56" t="s">
        <v>322</v>
      </c>
      <c r="B171" s="57" t="str">
        <f>HYPERLINK("http://codeforces.com/contest/148/problem/A","CF148-D2-A")</f>
        <v>CF148-D2-A</v>
      </c>
      <c r="C171" s="36"/>
      <c r="D171" s="36"/>
      <c r="E171" s="36"/>
      <c r="F171" s="36"/>
      <c r="G171" s="36"/>
      <c r="H171" s="36"/>
      <c r="I171" s="36">
        <f t="shared" si="3"/>
        <v>0</v>
      </c>
      <c r="J171" s="105"/>
      <c r="K171" s="36"/>
      <c r="L171" s="105"/>
      <c r="M171" s="40"/>
    </row>
    <row r="172" spans="1:13" ht="25" customHeight="1">
      <c r="A172" s="49" t="s">
        <v>323</v>
      </c>
      <c r="B172" s="106" t="str">
        <f>HYPERLINK("http://codeforces.com/contest/330/problem/A","CF330-D2-A")</f>
        <v>CF330-D2-A</v>
      </c>
      <c r="C172" s="36"/>
      <c r="D172" s="36"/>
      <c r="E172" s="36"/>
      <c r="F172" s="36"/>
      <c r="G172" s="36"/>
      <c r="H172" s="36"/>
      <c r="I172" s="36">
        <f t="shared" si="3"/>
        <v>0</v>
      </c>
      <c r="J172" s="105"/>
      <c r="K172" s="36"/>
      <c r="L172" s="105"/>
      <c r="M172" s="40"/>
    </row>
    <row r="173" spans="1:13" ht="25" customHeight="1">
      <c r="A173" s="56" t="s">
        <v>324</v>
      </c>
      <c r="B173" s="57" t="str">
        <f>HYPERLINK("http://codeforces.com/contest/16/problem/A","CF16-D2-A")</f>
        <v>CF16-D2-A</v>
      </c>
      <c r="C173" s="36"/>
      <c r="D173" s="36"/>
      <c r="E173" s="36"/>
      <c r="F173" s="36"/>
      <c r="G173" s="36"/>
      <c r="H173" s="36"/>
      <c r="I173" s="36">
        <f t="shared" si="3"/>
        <v>0</v>
      </c>
      <c r="J173" s="105"/>
      <c r="K173" s="36"/>
      <c r="L173" s="105"/>
      <c r="M173" s="10"/>
    </row>
    <row r="174" spans="1:13" ht="25" customHeight="1">
      <c r="A174" s="49" t="s">
        <v>325</v>
      </c>
      <c r="B174" s="106" t="str">
        <f>HYPERLINK("http://codeforces.com/contest/248/problem/A","CF248-D2-A")</f>
        <v>CF248-D2-A</v>
      </c>
      <c r="C174" s="36"/>
      <c r="D174" s="36"/>
      <c r="E174" s="36"/>
      <c r="F174" s="36"/>
      <c r="G174" s="36"/>
      <c r="H174" s="36"/>
      <c r="I174" s="36">
        <f t="shared" si="3"/>
        <v>0</v>
      </c>
      <c r="J174" s="105"/>
      <c r="K174" s="36"/>
      <c r="L174" s="105"/>
      <c r="M174" s="10"/>
    </row>
    <row r="175" spans="1:13" ht="25" customHeight="1">
      <c r="A175" s="49" t="s">
        <v>326</v>
      </c>
      <c r="B175" s="106" t="str">
        <f>HYPERLINK("http://codeforces.com/contest/363/problem/A","CF363-D2-A")</f>
        <v>CF363-D2-A</v>
      </c>
      <c r="C175" s="36"/>
      <c r="D175" s="36"/>
      <c r="E175" s="36"/>
      <c r="F175" s="36"/>
      <c r="G175" s="36"/>
      <c r="H175" s="36"/>
      <c r="I175" s="36">
        <f t="shared" si="3"/>
        <v>0</v>
      </c>
      <c r="J175" s="105"/>
      <c r="K175" s="36"/>
      <c r="L175" s="105"/>
      <c r="M175" s="10"/>
    </row>
    <row r="176" spans="1:13" ht="25" customHeight="1">
      <c r="A176" s="49"/>
      <c r="B176" s="90"/>
      <c r="C176" s="36"/>
      <c r="D176" s="36"/>
      <c r="E176" s="36"/>
      <c r="F176" s="36"/>
      <c r="G176" s="36"/>
      <c r="H176" s="36"/>
      <c r="I176" s="36">
        <f t="shared" si="3"/>
        <v>0</v>
      </c>
      <c r="J176" s="105"/>
      <c r="K176" s="36"/>
      <c r="L176" s="105"/>
      <c r="M176" s="10"/>
    </row>
    <row r="177" spans="1:13" ht="25" customHeight="1">
      <c r="A177" s="56" t="s">
        <v>327</v>
      </c>
      <c r="B177" s="57" t="str">
        <f>HYPERLINK("http://codeforces.com/contest/141/problem/A","CF141-D2-A")</f>
        <v>CF141-D2-A</v>
      </c>
      <c r="C177" s="36"/>
      <c r="D177" s="36"/>
      <c r="E177" s="36"/>
      <c r="F177" s="36"/>
      <c r="G177" s="36"/>
      <c r="H177" s="36"/>
      <c r="I177" s="36">
        <f t="shared" si="3"/>
        <v>0</v>
      </c>
      <c r="J177" s="105"/>
      <c r="K177" s="36"/>
      <c r="L177" s="105"/>
      <c r="M177" s="10"/>
    </row>
    <row r="178" spans="1:13" ht="25" customHeight="1">
      <c r="A178" s="49" t="s">
        <v>328</v>
      </c>
      <c r="B178" s="106" t="str">
        <f>HYPERLINK("http://codeforces.com/contest/275/problem/A","CF275-D2-A")</f>
        <v>CF275-D2-A</v>
      </c>
      <c r="C178" s="36"/>
      <c r="D178" s="36"/>
      <c r="E178" s="36"/>
      <c r="F178" s="36"/>
      <c r="G178" s="36"/>
      <c r="H178" s="36"/>
      <c r="I178" s="36">
        <f t="shared" si="3"/>
        <v>0</v>
      </c>
      <c r="J178" s="105"/>
      <c r="K178" s="36"/>
      <c r="L178" s="105"/>
      <c r="M178" s="10"/>
    </row>
    <row r="179" spans="1:13" ht="25" customHeight="1">
      <c r="A179" s="49" t="s">
        <v>329</v>
      </c>
      <c r="B179" s="106" t="str">
        <f>HYPERLINK("http://codeforces.com/contest/276/problem/A","CF276-D2-A")</f>
        <v>CF276-D2-A</v>
      </c>
      <c r="C179" s="36"/>
      <c r="D179" s="36"/>
      <c r="E179" s="36"/>
      <c r="F179" s="36"/>
      <c r="G179" s="36"/>
      <c r="H179" s="36"/>
      <c r="I179" s="36">
        <f t="shared" si="3"/>
        <v>0</v>
      </c>
      <c r="J179" s="105"/>
      <c r="K179" s="36"/>
      <c r="L179" s="105"/>
      <c r="M179" s="40"/>
    </row>
    <row r="180" spans="1:13" ht="25" customHeight="1">
      <c r="A180" s="49" t="s">
        <v>330</v>
      </c>
      <c r="B180" s="106" t="str">
        <f>HYPERLINK("http://codeforces.com/contest/588/problem/A","CF588-D2-A")</f>
        <v>CF588-D2-A</v>
      </c>
      <c r="C180" s="36"/>
      <c r="D180" s="36"/>
      <c r="E180" s="36"/>
      <c r="F180" s="36"/>
      <c r="G180" s="36"/>
      <c r="H180" s="36"/>
      <c r="I180" s="36">
        <f t="shared" si="3"/>
        <v>0</v>
      </c>
      <c r="J180" s="105"/>
      <c r="K180" s="36"/>
      <c r="L180" s="105"/>
      <c r="M180" s="40"/>
    </row>
    <row r="181" spans="1:13" ht="25" customHeight="1">
      <c r="A181" s="49" t="s">
        <v>331</v>
      </c>
      <c r="B181" s="106" t="str">
        <f>HYPERLINK("http://codeforces.com/contest/401/problem/A","CF401-D2-A")</f>
        <v>CF401-D2-A</v>
      </c>
      <c r="C181" s="36"/>
      <c r="D181" s="36"/>
      <c r="E181" s="36"/>
      <c r="F181" s="36"/>
      <c r="G181" s="36"/>
      <c r="H181" s="36"/>
      <c r="I181" s="36">
        <f t="shared" si="3"/>
        <v>0</v>
      </c>
      <c r="J181" s="105"/>
      <c r="K181" s="36"/>
      <c r="L181" s="105"/>
      <c r="M181" s="40"/>
    </row>
    <row r="182" spans="1:13" ht="25" customHeight="1">
      <c r="A182" s="49" t="s">
        <v>332</v>
      </c>
      <c r="B182" s="106" t="str">
        <f>HYPERLINK("http://codeforces.com/contest/424/problem/A","CF424-D2-A")</f>
        <v>CF424-D2-A</v>
      </c>
      <c r="C182" s="36"/>
      <c r="D182" s="36"/>
      <c r="E182" s="36"/>
      <c r="F182" s="36"/>
      <c r="G182" s="36"/>
      <c r="H182" s="36"/>
      <c r="I182" s="36">
        <f t="shared" si="3"/>
        <v>0</v>
      </c>
      <c r="J182" s="105"/>
      <c r="K182" s="36"/>
      <c r="L182" s="105"/>
      <c r="M182" s="40"/>
    </row>
    <row r="183" spans="1:13" ht="25" customHeight="1">
      <c r="A183" s="49" t="s">
        <v>333</v>
      </c>
      <c r="B183" s="106" t="str">
        <f>HYPERLINK("http://codeforces.com/contest/144/problem/A","CF144-D2-A")</f>
        <v>CF144-D2-A</v>
      </c>
      <c r="C183" s="36"/>
      <c r="D183" s="36"/>
      <c r="E183" s="36"/>
      <c r="F183" s="36"/>
      <c r="G183" s="36"/>
      <c r="H183" s="36"/>
      <c r="I183" s="36">
        <f t="shared" si="3"/>
        <v>0</v>
      </c>
      <c r="J183" s="105"/>
      <c r="K183" s="36"/>
      <c r="L183" s="105"/>
      <c r="M183" s="40"/>
    </row>
    <row r="184" spans="1:13" ht="25" customHeight="1">
      <c r="A184" s="49" t="s">
        <v>334</v>
      </c>
      <c r="B184" s="106" t="str">
        <f>HYPERLINK("http://codeforces.com/contest/63/problem/A","CF63-D2-A")</f>
        <v>CF63-D2-A</v>
      </c>
      <c r="C184" s="36"/>
      <c r="D184" s="36"/>
      <c r="E184" s="36"/>
      <c r="F184" s="36"/>
      <c r="G184" s="36"/>
      <c r="H184" s="36"/>
      <c r="I184" s="36">
        <f t="shared" si="3"/>
        <v>0</v>
      </c>
      <c r="J184" s="105"/>
      <c r="K184" s="36"/>
      <c r="L184" s="105"/>
      <c r="M184" s="40"/>
    </row>
    <row r="185" spans="1:13" ht="25" customHeight="1">
      <c r="A185" s="49" t="s">
        <v>335</v>
      </c>
      <c r="B185" s="106" t="str">
        <f>HYPERLINK("http://codeforces.com/contest/202/problem/A","CF202-D2-A")</f>
        <v>CF202-D2-A</v>
      </c>
      <c r="C185" s="36"/>
      <c r="D185" s="36"/>
      <c r="E185" s="36"/>
      <c r="F185" s="36"/>
      <c r="G185" s="36"/>
      <c r="H185" s="36"/>
      <c r="I185" s="36">
        <f t="shared" si="3"/>
        <v>0</v>
      </c>
      <c r="J185" s="105"/>
      <c r="K185" s="36"/>
      <c r="L185" s="105"/>
      <c r="M185" s="40"/>
    </row>
    <row r="186" spans="1:13" ht="25" customHeight="1">
      <c r="A186" s="49" t="s">
        <v>336</v>
      </c>
      <c r="B186" s="106" t="str">
        <f>HYPERLINK("http://codeforces.com/contest/334/problem/A","CF334-D2-A")</f>
        <v>CF334-D2-A</v>
      </c>
      <c r="C186" s="36"/>
      <c r="D186" s="36"/>
      <c r="E186" s="36"/>
      <c r="F186" s="36"/>
      <c r="G186" s="36"/>
      <c r="H186" s="36"/>
      <c r="I186" s="36">
        <f t="shared" si="3"/>
        <v>0</v>
      </c>
      <c r="J186" s="105"/>
      <c r="K186" s="36"/>
      <c r="L186" s="105"/>
      <c r="M186" s="40"/>
    </row>
    <row r="187" spans="1:13" ht="25" customHeight="1">
      <c r="A187" s="49"/>
      <c r="B187" s="90"/>
      <c r="C187" s="36"/>
      <c r="D187" s="36"/>
      <c r="E187" s="36"/>
      <c r="F187" s="36"/>
      <c r="G187" s="36"/>
      <c r="H187" s="36"/>
      <c r="I187" s="36">
        <f t="shared" si="3"/>
        <v>0</v>
      </c>
      <c r="J187" s="105"/>
      <c r="K187" s="36"/>
      <c r="L187" s="105"/>
      <c r="M187" s="40"/>
    </row>
    <row r="188" spans="1:13" ht="25" customHeight="1">
      <c r="A188" s="56" t="s">
        <v>337</v>
      </c>
      <c r="B188" s="63" t="str">
        <f>HYPERLINK("http://codeforces.com/contest/451/problem/A","CF451-D2-A")</f>
        <v>CF451-D2-A</v>
      </c>
      <c r="C188" s="36"/>
      <c r="D188" s="36"/>
      <c r="E188" s="36"/>
      <c r="F188" s="36"/>
      <c r="G188" s="36"/>
      <c r="H188" s="36"/>
      <c r="I188" s="36">
        <f t="shared" si="3"/>
        <v>0</v>
      </c>
      <c r="J188" s="105"/>
      <c r="K188" s="36"/>
      <c r="L188" s="105"/>
      <c r="M188" s="40"/>
    </row>
    <row r="189" spans="1:13" ht="25" customHeight="1">
      <c r="A189" s="56" t="s">
        <v>338</v>
      </c>
      <c r="B189" s="63" t="str">
        <f>HYPERLINK("http://codeforces.com/contest/460/problem/A","CF460-D2-A")</f>
        <v>CF460-D2-A</v>
      </c>
      <c r="C189" s="36"/>
      <c r="D189" s="36"/>
      <c r="E189" s="36"/>
      <c r="F189" s="36"/>
      <c r="G189" s="36"/>
      <c r="H189" s="36"/>
      <c r="I189" s="36">
        <f t="shared" si="3"/>
        <v>0</v>
      </c>
      <c r="J189" s="105"/>
      <c r="K189" s="36"/>
      <c r="L189" s="105"/>
      <c r="M189" s="40"/>
    </row>
    <row r="190" spans="1:13" ht="25" customHeight="1">
      <c r="A190" s="49" t="s">
        <v>339</v>
      </c>
      <c r="B190" s="106" t="str">
        <f>HYPERLINK("http://codeforces.com/contest/272/problem/A","CF272-D2-A")</f>
        <v>CF272-D2-A</v>
      </c>
      <c r="C190" s="36"/>
      <c r="D190" s="36"/>
      <c r="E190" s="36"/>
      <c r="F190" s="36"/>
      <c r="G190" s="36"/>
      <c r="H190" s="36"/>
      <c r="I190" s="36">
        <f t="shared" si="3"/>
        <v>0</v>
      </c>
      <c r="J190" s="105"/>
      <c r="K190" s="36"/>
      <c r="L190" s="105"/>
      <c r="M190" s="40"/>
    </row>
    <row r="191" spans="1:13" ht="25" customHeight="1">
      <c r="A191" s="49" t="s">
        <v>340</v>
      </c>
      <c r="B191" s="106" t="str">
        <f>HYPERLINK("http://codeforces.com/contest/676/problem/A","CF676-D2-A")</f>
        <v>CF676-D2-A</v>
      </c>
      <c r="C191" s="36"/>
      <c r="D191" s="36"/>
      <c r="E191" s="36"/>
      <c r="F191" s="36"/>
      <c r="G191" s="36"/>
      <c r="H191" s="36"/>
      <c r="I191" s="36">
        <f t="shared" si="3"/>
        <v>0</v>
      </c>
      <c r="J191" s="105"/>
      <c r="K191" s="36"/>
      <c r="L191" s="105"/>
      <c r="M191" s="40"/>
    </row>
    <row r="192" spans="1:13" ht="25" customHeight="1">
      <c r="A192" s="56" t="s">
        <v>341</v>
      </c>
      <c r="B192" s="63" t="str">
        <f>HYPERLINK("http://codeforces.com/contest/545/problem/A","CF545-D2-A")</f>
        <v>CF545-D2-A</v>
      </c>
      <c r="C192" s="36"/>
      <c r="D192" s="36"/>
      <c r="E192" s="36"/>
      <c r="F192" s="36"/>
      <c r="G192" s="36"/>
      <c r="H192" s="36"/>
      <c r="I192" s="36">
        <f t="shared" si="3"/>
        <v>0</v>
      </c>
      <c r="J192" s="105"/>
      <c r="K192" s="36"/>
      <c r="L192" s="105"/>
      <c r="M192" s="40"/>
    </row>
    <row r="193" spans="1:13" ht="25" customHeight="1">
      <c r="A193" s="49" t="s">
        <v>342</v>
      </c>
      <c r="B193" s="106" t="str">
        <f>HYPERLINK("http://codeforces.com/contest/447/problem/A","CF447-D2-A")</f>
        <v>CF447-D2-A</v>
      </c>
      <c r="C193" s="36"/>
      <c r="D193" s="36"/>
      <c r="E193" s="36"/>
      <c r="F193" s="36"/>
      <c r="G193" s="36"/>
      <c r="H193" s="36"/>
      <c r="I193" s="36">
        <f t="shared" si="3"/>
        <v>0</v>
      </c>
      <c r="J193" s="105"/>
      <c r="K193" s="36"/>
      <c r="L193" s="105"/>
      <c r="M193" s="40"/>
    </row>
    <row r="194" spans="1:13" ht="25" customHeight="1">
      <c r="A194" s="56" t="s">
        <v>343</v>
      </c>
      <c r="B194" s="63" t="str">
        <f>HYPERLINK("http://codeforces.com/contest/133/problem/A","CF133-D2-A")</f>
        <v>CF133-D2-A</v>
      </c>
      <c r="C194" s="36"/>
      <c r="D194" s="36"/>
      <c r="E194" s="36"/>
      <c r="F194" s="36"/>
      <c r="G194" s="36"/>
      <c r="H194" s="36"/>
      <c r="I194" s="36">
        <f t="shared" si="3"/>
        <v>0</v>
      </c>
      <c r="J194" s="105"/>
      <c r="K194" s="36"/>
      <c r="L194" s="105"/>
      <c r="M194" s="40"/>
    </row>
    <row r="195" spans="1:13" ht="25" customHeight="1">
      <c r="A195" s="56" t="s">
        <v>344</v>
      </c>
      <c r="B195" s="63" t="str">
        <f>HYPERLINK("http://codeforces.com/contest/670/problem/A","CF670-D2-A")</f>
        <v>CF670-D2-A</v>
      </c>
      <c r="C195" s="36"/>
      <c r="D195" s="36"/>
      <c r="E195" s="36"/>
      <c r="F195" s="36"/>
      <c r="G195" s="36"/>
      <c r="H195" s="36"/>
      <c r="I195" s="36">
        <f t="shared" si="3"/>
        <v>0</v>
      </c>
      <c r="J195" s="105"/>
      <c r="K195" s="36"/>
      <c r="L195" s="105"/>
      <c r="M195" s="40"/>
    </row>
    <row r="196" spans="1:13" ht="25" customHeight="1">
      <c r="A196" s="49" t="s">
        <v>345</v>
      </c>
      <c r="B196" s="106" t="str">
        <f>HYPERLINK("http://codeforces.com/contest/244/problem/A","CF244-D2-A")</f>
        <v>CF244-D2-A</v>
      </c>
      <c r="C196" s="36"/>
      <c r="D196" s="36"/>
      <c r="E196" s="36"/>
      <c r="F196" s="36"/>
      <c r="G196" s="36"/>
      <c r="H196" s="36"/>
      <c r="I196" s="36">
        <f t="shared" si="3"/>
        <v>0</v>
      </c>
      <c r="J196" s="105"/>
      <c r="K196" s="36"/>
      <c r="L196" s="105"/>
      <c r="M196" s="40"/>
    </row>
    <row r="197" spans="1:13" ht="25" customHeight="1">
      <c r="A197" s="56" t="s">
        <v>346</v>
      </c>
      <c r="B197" s="63" t="str">
        <f>HYPERLINK("http://codeforces.com/contest/78/problem/A","CF78-D2-A")</f>
        <v>CF78-D2-A</v>
      </c>
      <c r="C197" s="36"/>
      <c r="D197" s="36"/>
      <c r="E197" s="36"/>
      <c r="F197" s="36"/>
      <c r="G197" s="36"/>
      <c r="H197" s="36"/>
      <c r="I197" s="36">
        <f t="shared" si="3"/>
        <v>0</v>
      </c>
      <c r="J197" s="105"/>
      <c r="K197" s="36"/>
      <c r="L197" s="105"/>
      <c r="M197" s="40"/>
    </row>
    <row r="198" spans="1:13" ht="25" customHeight="1">
      <c r="A198" s="56"/>
      <c r="B198" s="63"/>
      <c r="C198" s="36"/>
      <c r="D198" s="36"/>
      <c r="E198" s="36"/>
      <c r="F198" s="36"/>
      <c r="G198" s="36"/>
      <c r="H198" s="36"/>
      <c r="I198" s="36">
        <f t="shared" si="3"/>
        <v>0</v>
      </c>
      <c r="J198" s="105"/>
      <c r="K198" s="36"/>
      <c r="L198" s="105"/>
      <c r="M198" s="40"/>
    </row>
    <row r="199" spans="1:13" ht="25" customHeight="1">
      <c r="A199" s="49" t="s">
        <v>347</v>
      </c>
      <c r="B199" s="106" t="str">
        <f>HYPERLINK("http://codeforces.com/contest/214/problem/A","CF214-D2-A")</f>
        <v>CF214-D2-A</v>
      </c>
      <c r="C199" s="36"/>
      <c r="D199" s="36"/>
      <c r="E199" s="36"/>
      <c r="F199" s="36"/>
      <c r="G199" s="36"/>
      <c r="H199" s="36"/>
      <c r="I199" s="36">
        <f t="shared" si="3"/>
        <v>0</v>
      </c>
      <c r="J199" s="105"/>
      <c r="K199" s="36"/>
      <c r="L199" s="105"/>
      <c r="M199" s="40"/>
    </row>
    <row r="200" spans="1:13" ht="25" customHeight="1">
      <c r="A200" s="56" t="s">
        <v>348</v>
      </c>
      <c r="B200" s="63" t="str">
        <f>HYPERLINK("http://codeforces.com/contest/25/problem/A","CF25-D2-A")</f>
        <v>CF25-D2-A</v>
      </c>
      <c r="C200" s="36"/>
      <c r="D200" s="36"/>
      <c r="E200" s="36"/>
      <c r="F200" s="36"/>
      <c r="G200" s="36"/>
      <c r="H200" s="36"/>
      <c r="I200" s="36">
        <f t="shared" si="3"/>
        <v>0</v>
      </c>
      <c r="J200" s="105"/>
      <c r="K200" s="36"/>
      <c r="L200" s="105"/>
      <c r="M200" s="40"/>
    </row>
    <row r="201" spans="1:13" ht="25" customHeight="1">
      <c r="A201" s="49" t="s">
        <v>349</v>
      </c>
      <c r="B201" s="106" t="str">
        <f>HYPERLINK("http://codeforces.com/contest/501/problem/A","CF501-D2-A")</f>
        <v>CF501-D2-A</v>
      </c>
      <c r="C201" s="36"/>
      <c r="D201" s="36"/>
      <c r="E201" s="36"/>
      <c r="F201" s="36"/>
      <c r="G201" s="36"/>
      <c r="H201" s="36"/>
      <c r="I201" s="36">
        <f t="shared" si="3"/>
        <v>0</v>
      </c>
      <c r="J201" s="105"/>
      <c r="K201" s="36"/>
      <c r="L201" s="105"/>
      <c r="M201" s="40"/>
    </row>
    <row r="202" spans="1:13" ht="25" customHeight="1">
      <c r="A202" s="56" t="s">
        <v>350</v>
      </c>
      <c r="B202" s="63" t="str">
        <f>HYPERLINK("http://codeforces.com/contest/94/problem/A","CF94-D2-A")</f>
        <v>CF94-D2-A</v>
      </c>
      <c r="C202" s="36"/>
      <c r="D202" s="36"/>
      <c r="E202" s="36"/>
      <c r="F202" s="36"/>
      <c r="G202" s="36"/>
      <c r="H202" s="36"/>
      <c r="I202" s="36">
        <f t="shared" si="3"/>
        <v>0</v>
      </c>
      <c r="J202" s="105"/>
      <c r="K202" s="36"/>
      <c r="L202" s="105"/>
      <c r="M202" s="40"/>
    </row>
    <row r="203" spans="1:13" ht="25" customHeight="1">
      <c r="A203" s="49" t="s">
        <v>351</v>
      </c>
      <c r="B203" s="106" t="str">
        <f>HYPERLINK("http://codeforces.com/contest/369/problem/A","CF369-D2-A")</f>
        <v>CF369-D2-A</v>
      </c>
      <c r="C203" s="36"/>
      <c r="D203" s="36"/>
      <c r="E203" s="36"/>
      <c r="F203" s="36"/>
      <c r="G203" s="36"/>
      <c r="H203" s="36"/>
      <c r="I203" s="36">
        <f t="shared" si="3"/>
        <v>0</v>
      </c>
      <c r="J203" s="105"/>
      <c r="K203" s="36"/>
      <c r="L203" s="105"/>
      <c r="M203" s="40"/>
    </row>
    <row r="204" spans="1:13" ht="25" customHeight="1">
      <c r="A204" s="56" t="s">
        <v>352</v>
      </c>
      <c r="B204" s="63" t="str">
        <f>HYPERLINK("http://codeforces.com/contest/496/problem/A","CF496-D2-A")</f>
        <v>CF496-D2-A</v>
      </c>
      <c r="C204" s="36"/>
      <c r="D204" s="36"/>
      <c r="E204" s="36"/>
      <c r="F204" s="36"/>
      <c r="G204" s="36"/>
      <c r="H204" s="36"/>
      <c r="I204" s="36">
        <f t="shared" si="3"/>
        <v>0</v>
      </c>
      <c r="J204" s="105"/>
      <c r="K204" s="36"/>
      <c r="L204" s="105"/>
      <c r="M204" s="40"/>
    </row>
    <row r="205" spans="1:13" ht="25" customHeight="1">
      <c r="A205" s="49" t="s">
        <v>353</v>
      </c>
      <c r="B205" s="106" t="str">
        <f>HYPERLINK("http://codeforces.com/contest/221/problem/A","CF221-D2-A")</f>
        <v>CF221-D2-A</v>
      </c>
      <c r="C205" s="36"/>
      <c r="D205" s="36"/>
      <c r="E205" s="36"/>
      <c r="F205" s="36"/>
      <c r="G205" s="36"/>
      <c r="H205" s="36"/>
      <c r="I205" s="36">
        <f t="shared" si="3"/>
        <v>0</v>
      </c>
      <c r="J205" s="105"/>
      <c r="K205" s="36"/>
      <c r="L205" s="105"/>
      <c r="M205" s="40"/>
    </row>
    <row r="206" spans="1:13" ht="25" customHeight="1">
      <c r="A206" s="49" t="s">
        <v>354</v>
      </c>
      <c r="B206" s="106" t="str">
        <f>HYPERLINK("http://codeforces.com/contest/373/problem/A","CF373-D2-A")</f>
        <v>CF373-D2-A</v>
      </c>
      <c r="C206" s="36"/>
      <c r="D206" s="36"/>
      <c r="E206" s="36"/>
      <c r="F206" s="36"/>
      <c r="G206" s="36"/>
      <c r="H206" s="36"/>
      <c r="I206" s="36">
        <f t="shared" si="3"/>
        <v>0</v>
      </c>
      <c r="J206" s="105"/>
      <c r="K206" s="36"/>
      <c r="L206" s="105"/>
      <c r="M206" s="40"/>
    </row>
    <row r="207" spans="1:13" ht="25" customHeight="1">
      <c r="A207" s="49" t="s">
        <v>355</v>
      </c>
      <c r="B207" s="106" t="str">
        <f>HYPERLINK("http://codeforces.com/contest/14/problem/A","CF14-D2-A")</f>
        <v>CF14-D2-A</v>
      </c>
      <c r="C207" s="36"/>
      <c r="D207" s="36"/>
      <c r="E207" s="36"/>
      <c r="F207" s="36"/>
      <c r="G207" s="36"/>
      <c r="H207" s="36"/>
      <c r="I207" s="36">
        <f t="shared" si="3"/>
        <v>0</v>
      </c>
      <c r="J207" s="105"/>
      <c r="K207" s="36"/>
      <c r="L207" s="105"/>
      <c r="M207" s="40"/>
    </row>
    <row r="208" spans="1:13" ht="25" customHeight="1">
      <c r="A208" s="49" t="s">
        <v>356</v>
      </c>
      <c r="B208" s="106" t="str">
        <f>HYPERLINK("http://codeforces.com/contest/580/problem/A","CF580-D2-A")</f>
        <v>CF580-D2-A</v>
      </c>
      <c r="C208" s="36"/>
      <c r="D208" s="36"/>
      <c r="E208" s="36"/>
      <c r="F208" s="36"/>
      <c r="G208" s="36"/>
      <c r="H208" s="36"/>
      <c r="I208" s="36">
        <f t="shared" si="3"/>
        <v>0</v>
      </c>
      <c r="J208" s="105"/>
      <c r="K208" s="36"/>
      <c r="L208" s="105"/>
      <c r="M208" s="40"/>
    </row>
    <row r="209" spans="1:13" ht="25" customHeight="1">
      <c r="A209" s="49"/>
      <c r="B209" s="90"/>
      <c r="C209" s="36"/>
      <c r="D209" s="36"/>
      <c r="E209" s="36"/>
      <c r="F209" s="36"/>
      <c r="G209" s="36"/>
      <c r="H209" s="36"/>
      <c r="I209" s="36">
        <f t="shared" si="3"/>
        <v>0</v>
      </c>
      <c r="J209" s="105"/>
      <c r="K209" s="36"/>
      <c r="L209" s="105"/>
      <c r="M209" s="40"/>
    </row>
    <row r="210" spans="1:13" ht="25" customHeight="1">
      <c r="A210" s="49" t="s">
        <v>357</v>
      </c>
      <c r="B210" s="106" t="str">
        <f>HYPERLINK("http://codeforces.com/contest/313/problem/A","CF313-D2-A")</f>
        <v>CF313-D2-A</v>
      </c>
      <c r="C210" s="36"/>
      <c r="D210" s="36"/>
      <c r="E210" s="36"/>
      <c r="F210" s="36"/>
      <c r="G210" s="36"/>
      <c r="H210" s="36"/>
      <c r="I210" s="36">
        <f t="shared" si="3"/>
        <v>0</v>
      </c>
      <c r="J210" s="105"/>
      <c r="K210" s="36"/>
      <c r="L210" s="105"/>
      <c r="M210" s="40"/>
    </row>
    <row r="211" spans="1:13" ht="25" customHeight="1">
      <c r="A211" s="49" t="s">
        <v>358</v>
      </c>
      <c r="B211" s="106" t="str">
        <f>HYPERLINK("http://codeforces.com/contest/604/problem/A","CF604-D2-A")</f>
        <v>CF604-D2-A</v>
      </c>
      <c r="C211" s="36"/>
      <c r="D211" s="36"/>
      <c r="E211" s="36"/>
      <c r="F211" s="36"/>
      <c r="G211" s="36"/>
      <c r="H211" s="36"/>
      <c r="I211" s="36">
        <f t="shared" si="3"/>
        <v>0</v>
      </c>
      <c r="J211" s="105"/>
      <c r="K211" s="36"/>
      <c r="L211" s="105"/>
      <c r="M211" s="40"/>
    </row>
    <row r="212" spans="1:13" ht="25" customHeight="1">
      <c r="A212" s="49" t="s">
        <v>359</v>
      </c>
      <c r="B212" s="106" t="str">
        <f>HYPERLINK("http://codeforces.com/contest/34/problem/A","CF34-D2-A")</f>
        <v>CF34-D2-A</v>
      </c>
      <c r="C212" s="36"/>
      <c r="D212" s="36"/>
      <c r="E212" s="36"/>
      <c r="F212" s="36"/>
      <c r="G212" s="36"/>
      <c r="H212" s="36"/>
      <c r="I212" s="36">
        <f t="shared" si="3"/>
        <v>0</v>
      </c>
      <c r="J212" s="105"/>
      <c r="K212" s="36"/>
      <c r="L212" s="105"/>
      <c r="M212" s="40"/>
    </row>
    <row r="213" spans="1:13" ht="25" customHeight="1">
      <c r="A213" s="49" t="s">
        <v>360</v>
      </c>
      <c r="B213" s="106" t="str">
        <f>HYPERLINK("http://codeforces.com/contest/146/problem/A","CF146-D2-A")</f>
        <v>CF146-D2-A</v>
      </c>
      <c r="C213" s="36"/>
      <c r="D213" s="36"/>
      <c r="E213" s="36"/>
      <c r="F213" s="36"/>
      <c r="G213" s="36"/>
      <c r="H213" s="36"/>
      <c r="I213" s="36">
        <f t="shared" si="3"/>
        <v>0</v>
      </c>
      <c r="J213" s="105"/>
      <c r="K213" s="36"/>
      <c r="L213" s="105"/>
      <c r="M213" s="40"/>
    </row>
    <row r="214" spans="1:13" ht="25" customHeight="1">
      <c r="A214" s="49" t="s">
        <v>361</v>
      </c>
      <c r="B214" s="106" t="str">
        <f>HYPERLINK("http://codeforces.com/contest/58/problem/A","CF58-D2-A")</f>
        <v>CF58-D2-A</v>
      </c>
      <c r="C214" s="36"/>
      <c r="D214" s="36"/>
      <c r="E214" s="36"/>
      <c r="F214" s="36"/>
      <c r="G214" s="36"/>
      <c r="H214" s="36"/>
      <c r="I214" s="36">
        <f t="shared" si="3"/>
        <v>0</v>
      </c>
      <c r="J214" s="105"/>
      <c r="K214" s="36"/>
      <c r="L214" s="105"/>
      <c r="M214" s="40"/>
    </row>
    <row r="215" spans="1:13" ht="25" customHeight="1">
      <c r="A215" s="49" t="s">
        <v>362</v>
      </c>
      <c r="B215" s="106" t="str">
        <f>HYPERLINK("http://codeforces.com/contest/387/problem/A","CF387-D2-A")</f>
        <v>CF387-D2-A</v>
      </c>
      <c r="C215" s="36"/>
      <c r="D215" s="36"/>
      <c r="E215" s="36"/>
      <c r="F215" s="36"/>
      <c r="G215" s="36"/>
      <c r="H215" s="36"/>
      <c r="I215" s="36">
        <f t="shared" si="3"/>
        <v>0</v>
      </c>
      <c r="J215" s="105"/>
      <c r="K215" s="36"/>
      <c r="L215" s="105"/>
      <c r="M215" s="40"/>
    </row>
    <row r="216" spans="1:13" ht="25" customHeight="1">
      <c r="A216" s="49" t="s">
        <v>363</v>
      </c>
      <c r="B216" s="106" t="str">
        <f>HYPERLINK("http://codeforces.com/contest/735/problem/A","CF735-D2-A")</f>
        <v>CF735-D2-A</v>
      </c>
      <c r="C216" s="36"/>
      <c r="D216" s="36"/>
      <c r="E216" s="36"/>
      <c r="F216" s="36"/>
      <c r="G216" s="36"/>
      <c r="H216" s="36"/>
      <c r="I216" s="36">
        <f t="shared" si="3"/>
        <v>0</v>
      </c>
      <c r="J216" s="105"/>
      <c r="K216" s="36"/>
      <c r="L216" s="105"/>
      <c r="M216" s="40"/>
    </row>
    <row r="217" spans="1:13" ht="25" customHeight="1">
      <c r="A217" s="56" t="s">
        <v>364</v>
      </c>
      <c r="B217" s="63" t="str">
        <f>HYPERLINK("http://codeforces.com/contest/124/problem/A","CF124-D2-A")</f>
        <v>CF124-D2-A</v>
      </c>
      <c r="C217" s="36"/>
      <c r="D217" s="36"/>
      <c r="E217" s="36"/>
      <c r="F217" s="36"/>
      <c r="G217" s="36"/>
      <c r="H217" s="36"/>
      <c r="I217" s="36">
        <f t="shared" si="3"/>
        <v>0</v>
      </c>
      <c r="J217" s="105"/>
      <c r="K217" s="36"/>
      <c r="L217" s="105"/>
      <c r="M217" s="40"/>
    </row>
    <row r="218" spans="1:13" ht="25" customHeight="1">
      <c r="A218" s="49" t="s">
        <v>365</v>
      </c>
      <c r="B218" s="106" t="str">
        <f>HYPERLINK("http://codeforces.com/contest/359/problem/A","CF359-D2-A")</f>
        <v>CF359-D2-A</v>
      </c>
      <c r="C218" s="36"/>
      <c r="D218" s="36"/>
      <c r="E218" s="36"/>
      <c r="F218" s="36"/>
      <c r="G218" s="36"/>
      <c r="H218" s="36"/>
      <c r="I218" s="36">
        <f t="shared" si="3"/>
        <v>0</v>
      </c>
      <c r="J218" s="105"/>
      <c r="K218" s="36"/>
      <c r="L218" s="105"/>
      <c r="M218" s="40"/>
    </row>
    <row r="219" spans="1:13" ht="25" customHeight="1">
      <c r="A219" s="49" t="s">
        <v>366</v>
      </c>
      <c r="B219" s="106" t="str">
        <f>HYPERLINK("http://codeforces.com/contest/535/problem/A","CF535-D2-A")</f>
        <v>CF535-D2-A</v>
      </c>
      <c r="C219" s="36"/>
      <c r="D219" s="36"/>
      <c r="E219" s="36"/>
      <c r="F219" s="36"/>
      <c r="G219" s="36"/>
      <c r="H219" s="36"/>
      <c r="I219" s="36">
        <f t="shared" si="3"/>
        <v>0</v>
      </c>
      <c r="J219" s="105"/>
      <c r="K219" s="36"/>
      <c r="L219" s="105"/>
      <c r="M219" s="40"/>
    </row>
    <row r="220" spans="1:13" ht="25" customHeight="1">
      <c r="A220" s="49"/>
      <c r="B220" s="90"/>
      <c r="C220" s="36"/>
      <c r="D220" s="36"/>
      <c r="E220" s="36"/>
      <c r="F220" s="36"/>
      <c r="G220" s="36"/>
      <c r="H220" s="36"/>
      <c r="I220" s="36">
        <f t="shared" si="3"/>
        <v>0</v>
      </c>
      <c r="J220" s="105"/>
      <c r="K220" s="36"/>
      <c r="L220" s="105"/>
      <c r="M220" s="40"/>
    </row>
    <row r="221" spans="1:13" ht="25" customHeight="1">
      <c r="A221" s="49" t="s">
        <v>367</v>
      </c>
      <c r="B221" s="106" t="str">
        <f>HYPERLINK("http://codeforces.com/contest/4/problem/A","CF4-D2-A")</f>
        <v>CF4-D2-A</v>
      </c>
      <c r="C221" s="36"/>
      <c r="D221" s="36"/>
      <c r="E221" s="36"/>
      <c r="F221" s="36"/>
      <c r="G221" s="36"/>
      <c r="H221" s="36"/>
      <c r="I221" s="36">
        <f t="shared" si="3"/>
        <v>0</v>
      </c>
      <c r="J221" s="105"/>
      <c r="K221" s="36"/>
      <c r="L221" s="105"/>
      <c r="M221" s="40"/>
    </row>
    <row r="222" spans="1:13" ht="25" customHeight="1">
      <c r="A222" s="49" t="s">
        <v>368</v>
      </c>
      <c r="B222" s="106" t="str">
        <f>HYPERLINK("http://codeforces.com/contest/195/problem/A","CF195-D2-A")</f>
        <v>CF195-D2-A</v>
      </c>
      <c r="C222" s="36"/>
      <c r="D222" s="36"/>
      <c r="E222" s="36"/>
      <c r="F222" s="36"/>
      <c r="G222" s="36"/>
      <c r="H222" s="36"/>
      <c r="I222" s="36">
        <f t="shared" si="3"/>
        <v>0</v>
      </c>
      <c r="J222" s="105"/>
      <c r="K222" s="36"/>
      <c r="L222" s="105"/>
      <c r="M222" s="40"/>
    </row>
    <row r="223" spans="1:13" ht="25" customHeight="1">
      <c r="A223" s="49" t="s">
        <v>369</v>
      </c>
      <c r="B223" s="106" t="str">
        <f>HYPERLINK("http://codeforces.com/contest/478/problem/A","CF478-D2-A")</f>
        <v>CF478-D2-A</v>
      </c>
      <c r="C223" s="36"/>
      <c r="D223" s="36"/>
      <c r="E223" s="36"/>
      <c r="F223" s="36"/>
      <c r="G223" s="36"/>
      <c r="H223" s="36"/>
      <c r="I223" s="36">
        <f t="shared" si="3"/>
        <v>0</v>
      </c>
      <c r="J223" s="105"/>
      <c r="K223" s="36"/>
      <c r="L223" s="105"/>
      <c r="M223" s="40"/>
    </row>
    <row r="224" spans="1:13" ht="25" customHeight="1">
      <c r="A224" s="49" t="s">
        <v>370</v>
      </c>
      <c r="B224" s="106" t="str">
        <f>HYPERLINK("http://codeforces.com/contest/608/problem/A","CF608-D2-A")</f>
        <v>CF608-D2-A</v>
      </c>
      <c r="C224" s="36"/>
      <c r="D224" s="36"/>
      <c r="E224" s="36"/>
      <c r="F224" s="36"/>
      <c r="G224" s="36"/>
      <c r="H224" s="36"/>
      <c r="I224" s="36">
        <f t="shared" si="3"/>
        <v>0</v>
      </c>
      <c r="J224" s="105"/>
      <c r="K224" s="36"/>
      <c r="L224" s="105"/>
      <c r="M224" s="40"/>
    </row>
    <row r="225" spans="1:13" ht="25" customHeight="1">
      <c r="A225" s="49" t="s">
        <v>371</v>
      </c>
      <c r="B225" s="106" t="str">
        <f>HYPERLINK("http://codeforces.com/contest/435/problem/A","CF435-D2-A")</f>
        <v>CF435-D2-A</v>
      </c>
      <c r="C225" s="36"/>
      <c r="D225" s="36"/>
      <c r="E225" s="36"/>
      <c r="F225" s="36"/>
      <c r="G225" s="36"/>
      <c r="H225" s="36"/>
      <c r="I225" s="36">
        <f t="shared" si="3"/>
        <v>0</v>
      </c>
      <c r="J225" s="105"/>
      <c r="K225" s="36"/>
      <c r="L225" s="105"/>
      <c r="M225" s="40"/>
    </row>
    <row r="226" spans="1:13" ht="25" customHeight="1">
      <c r="A226" s="49" t="s">
        <v>372</v>
      </c>
      <c r="B226" s="106" t="str">
        <f>HYPERLINK("http://codeforces.com/contest/215/problem/A","CF215-D2-A")</f>
        <v>CF215-D2-A</v>
      </c>
      <c r="C226" s="36"/>
      <c r="D226" s="36"/>
      <c r="E226" s="36"/>
      <c r="F226" s="36"/>
      <c r="G226" s="36"/>
      <c r="H226" s="36"/>
      <c r="I226" s="36">
        <f t="shared" si="3"/>
        <v>0</v>
      </c>
      <c r="J226" s="105"/>
      <c r="K226" s="36"/>
      <c r="L226" s="105"/>
      <c r="M226" s="40"/>
    </row>
    <row r="227" spans="1:13" ht="25" customHeight="1">
      <c r="A227" s="49" t="s">
        <v>373</v>
      </c>
      <c r="B227" s="106" t="str">
        <f>HYPERLINK("http://codeforces.com/contest/205/problem/A","CF205-D2-A")</f>
        <v>CF205-D2-A</v>
      </c>
      <c r="C227" s="36"/>
      <c r="D227" s="36"/>
      <c r="E227" s="36"/>
      <c r="F227" s="36"/>
      <c r="G227" s="36"/>
      <c r="H227" s="36"/>
      <c r="I227" s="36">
        <f t="shared" si="3"/>
        <v>0</v>
      </c>
      <c r="J227" s="105"/>
      <c r="K227" s="36"/>
      <c r="L227" s="105"/>
      <c r="M227" s="40"/>
    </row>
    <row r="228" spans="1:13" ht="25" customHeight="1">
      <c r="A228" s="49" t="s">
        <v>374</v>
      </c>
      <c r="B228" s="106" t="str">
        <f>HYPERLINK("http://codeforces.com/contest/507/problem/A","CF507-D2-A")</f>
        <v>CF507-D2-A</v>
      </c>
      <c r="C228" s="36"/>
      <c r="D228" s="36"/>
      <c r="E228" s="36"/>
      <c r="F228" s="36"/>
      <c r="G228" s="36"/>
      <c r="H228" s="36"/>
      <c r="I228" s="36">
        <f t="shared" si="3"/>
        <v>0</v>
      </c>
      <c r="J228" s="105"/>
      <c r="K228" s="36"/>
      <c r="L228" s="105"/>
      <c r="M228" s="40"/>
    </row>
    <row r="229" spans="1:13" ht="25" customHeight="1">
      <c r="A229" s="49" t="s">
        <v>375</v>
      </c>
      <c r="B229" s="106" t="str">
        <f>HYPERLINK("http://codeforces.com/contest/152/problem/A","CF152-D2-A")</f>
        <v>CF152-D2-A</v>
      </c>
      <c r="C229" s="36"/>
      <c r="D229" s="36"/>
      <c r="E229" s="36"/>
      <c r="F229" s="36"/>
      <c r="G229" s="36"/>
      <c r="H229" s="36"/>
      <c r="I229" s="36">
        <f t="shared" si="3"/>
        <v>0</v>
      </c>
      <c r="J229" s="105"/>
      <c r="K229" s="36"/>
      <c r="L229" s="105"/>
      <c r="M229" s="40"/>
    </row>
    <row r="230" spans="1:13" ht="25" customHeight="1">
      <c r="A230" s="49" t="s">
        <v>376</v>
      </c>
      <c r="B230" s="106" t="str">
        <f>HYPERLINK("http://codeforces.com/contest/137/problem/A","CF137-D2-A")</f>
        <v>CF137-D2-A</v>
      </c>
      <c r="C230" s="36"/>
      <c r="D230" s="36"/>
      <c r="E230" s="36"/>
      <c r="F230" s="36"/>
      <c r="G230" s="36"/>
      <c r="H230" s="36"/>
      <c r="I230" s="36">
        <f t="shared" si="3"/>
        <v>0</v>
      </c>
      <c r="J230" s="105"/>
      <c r="K230" s="36"/>
      <c r="L230" s="105"/>
      <c r="M230" s="40"/>
    </row>
    <row r="231" spans="1:13" ht="25" customHeight="1">
      <c r="A231" s="49"/>
      <c r="B231" s="90"/>
      <c r="C231" s="36"/>
      <c r="D231" s="36"/>
      <c r="E231" s="36"/>
      <c r="F231" s="36"/>
      <c r="G231" s="36"/>
      <c r="H231" s="36"/>
      <c r="I231" s="36">
        <f t="shared" si="3"/>
        <v>0</v>
      </c>
      <c r="J231" s="105"/>
      <c r="K231" s="36"/>
      <c r="L231" s="105"/>
      <c r="M231" s="40"/>
    </row>
    <row r="232" spans="1:13" ht="25" customHeight="1">
      <c r="A232" s="49" t="s">
        <v>377</v>
      </c>
      <c r="B232" s="106" t="str">
        <f>HYPERLINK("http://codeforces.com/contest/149/problem/A","CF149-D2-A")</f>
        <v>CF149-D2-A</v>
      </c>
      <c r="C232" s="36"/>
      <c r="D232" s="36"/>
      <c r="E232" s="36"/>
      <c r="F232" s="36"/>
      <c r="G232" s="36"/>
      <c r="H232" s="36"/>
      <c r="I232" s="36">
        <f t="shared" si="3"/>
        <v>0</v>
      </c>
      <c r="J232" s="105"/>
      <c r="K232" s="36"/>
      <c r="L232" s="105"/>
      <c r="M232" s="40"/>
    </row>
    <row r="233" spans="1:13" ht="25" customHeight="1">
      <c r="A233" s="56" t="s">
        <v>378</v>
      </c>
      <c r="B233" s="63" t="str">
        <f>HYPERLINK("http://codeforces.com/contest/515/problem/A","CF515-D2-A")</f>
        <v>CF515-D2-A</v>
      </c>
      <c r="C233" s="36"/>
      <c r="D233" s="36"/>
      <c r="E233" s="36"/>
      <c r="F233" s="36"/>
      <c r="G233" s="36"/>
      <c r="H233" s="36"/>
      <c r="I233" s="36">
        <f t="shared" si="3"/>
        <v>0</v>
      </c>
      <c r="J233" s="105"/>
      <c r="K233" s="36"/>
      <c r="L233" s="105"/>
      <c r="M233" s="40"/>
    </row>
    <row r="234" spans="1:13" ht="25" customHeight="1">
      <c r="A234" s="56" t="s">
        <v>379</v>
      </c>
      <c r="B234" s="63" t="str">
        <f>HYPERLINK("http://codeforces.com/contest/577/problem/A","CF577-D2-A")</f>
        <v>CF577-D2-A</v>
      </c>
      <c r="C234" s="36"/>
      <c r="D234" s="36"/>
      <c r="E234" s="36"/>
      <c r="F234" s="36"/>
      <c r="G234" s="36"/>
      <c r="H234" s="36"/>
      <c r="I234" s="36">
        <f t="shared" si="3"/>
        <v>0</v>
      </c>
      <c r="J234" s="105"/>
      <c r="K234" s="36"/>
      <c r="L234" s="105"/>
      <c r="M234" s="40"/>
    </row>
    <row r="235" spans="1:13" ht="25" customHeight="1">
      <c r="A235" s="49" t="s">
        <v>380</v>
      </c>
      <c r="B235" s="106" t="str">
        <f>HYPERLINK("http://codeforces.com/contest/534/problem/A","CF534-D2-A")</f>
        <v>CF534-D2-A</v>
      </c>
      <c r="C235" s="36"/>
      <c r="D235" s="36"/>
      <c r="E235" s="36"/>
      <c r="F235" s="36"/>
      <c r="G235" s="36"/>
      <c r="H235" s="36"/>
      <c r="I235" s="36">
        <f t="shared" si="3"/>
        <v>0</v>
      </c>
      <c r="J235" s="105"/>
      <c r="K235" s="36"/>
      <c r="L235" s="105"/>
      <c r="M235" s="40"/>
    </row>
    <row r="236" spans="1:13" ht="25" customHeight="1">
      <c r="A236" s="49" t="s">
        <v>381</v>
      </c>
      <c r="B236" s="106" t="str">
        <f>HYPERLINK("http://codeforces.com/contest/586/problem/A","CF586-D2-A")</f>
        <v>CF586-D2-A</v>
      </c>
      <c r="C236" s="36"/>
      <c r="D236" s="36"/>
      <c r="E236" s="36"/>
      <c r="F236" s="36"/>
      <c r="G236" s="36"/>
      <c r="H236" s="36"/>
      <c r="I236" s="36">
        <f t="shared" si="3"/>
        <v>0</v>
      </c>
      <c r="J236" s="105"/>
      <c r="K236" s="36"/>
      <c r="L236" s="105"/>
      <c r="M236" s="40"/>
    </row>
    <row r="237" spans="1:13" ht="25" customHeight="1">
      <c r="A237" s="49" t="s">
        <v>382</v>
      </c>
      <c r="B237" s="106" t="str">
        <f>HYPERLINK("http://codeforces.com/contest/631/problem/A","CF631-D2-A")</f>
        <v>CF631-D2-A</v>
      </c>
      <c r="C237" s="36"/>
      <c r="D237" s="36"/>
      <c r="E237" s="36"/>
      <c r="F237" s="36"/>
      <c r="G237" s="36"/>
      <c r="H237" s="36"/>
      <c r="I237" s="36">
        <f t="shared" si="3"/>
        <v>0</v>
      </c>
      <c r="J237" s="105"/>
      <c r="K237" s="36"/>
      <c r="L237" s="105"/>
      <c r="M237" s="40"/>
    </row>
    <row r="238" spans="1:13" ht="25" customHeight="1">
      <c r="A238" s="49" t="s">
        <v>383</v>
      </c>
      <c r="B238" s="106" t="str">
        <f>HYPERLINK("http://codeforces.com/contest/122/problem/A","CF122-D2-A")</f>
        <v>CF122-D2-A</v>
      </c>
      <c r="C238" s="36"/>
      <c r="D238" s="36"/>
      <c r="E238" s="36"/>
      <c r="F238" s="36"/>
      <c r="G238" s="36"/>
      <c r="H238" s="36"/>
      <c r="I238" s="36">
        <f t="shared" si="3"/>
        <v>0</v>
      </c>
      <c r="J238" s="105"/>
      <c r="K238" s="36"/>
      <c r="L238" s="105"/>
      <c r="M238" s="40"/>
    </row>
    <row r="239" spans="1:13" ht="25" customHeight="1">
      <c r="A239" s="49" t="s">
        <v>384</v>
      </c>
      <c r="B239" s="106" t="str">
        <f>HYPERLINK("http://codeforces.com/contest/462/problem/A","CF462-D2-A")</f>
        <v>CF462-D2-A</v>
      </c>
      <c r="C239" s="36"/>
      <c r="D239" s="36"/>
      <c r="E239" s="36"/>
      <c r="F239" s="36"/>
      <c r="G239" s="36"/>
      <c r="H239" s="36"/>
      <c r="I239" s="36">
        <f t="shared" si="3"/>
        <v>0</v>
      </c>
      <c r="J239" s="105"/>
      <c r="K239" s="36"/>
      <c r="L239" s="105"/>
      <c r="M239" s="40"/>
    </row>
    <row r="240" spans="1:13" ht="25" customHeight="1">
      <c r="A240" s="49" t="s">
        <v>385</v>
      </c>
      <c r="B240" s="106" t="str">
        <f>HYPERLINK("http://codeforces.com/contest/355/problem/A","CF355-D2-A")</f>
        <v>CF355-D2-A</v>
      </c>
      <c r="C240" s="36"/>
      <c r="D240" s="36"/>
      <c r="E240" s="36"/>
      <c r="F240" s="36"/>
      <c r="G240" s="36"/>
      <c r="H240" s="36"/>
      <c r="I240" s="36">
        <f t="shared" si="3"/>
        <v>0</v>
      </c>
      <c r="J240" s="105"/>
      <c r="K240" s="36"/>
      <c r="L240" s="105"/>
      <c r="M240" s="40"/>
    </row>
    <row r="241" spans="1:13" ht="25" customHeight="1">
      <c r="A241" s="49" t="s">
        <v>386</v>
      </c>
      <c r="B241" s="106" t="str">
        <f>HYPERLINK("http://codeforces.com/contest/224/problem/A","CF224-D2-A")</f>
        <v>CF224-D2-A</v>
      </c>
      <c r="C241" s="36"/>
      <c r="D241" s="36"/>
      <c r="E241" s="36"/>
      <c r="F241" s="36"/>
      <c r="G241" s="36"/>
      <c r="H241" s="36"/>
      <c r="I241" s="36">
        <f t="shared" si="3"/>
        <v>0</v>
      </c>
      <c r="J241" s="105"/>
      <c r="K241" s="36"/>
      <c r="L241" s="105"/>
      <c r="M241" s="40"/>
    </row>
    <row r="242" spans="1:13" ht="25" customHeight="1">
      <c r="A242" s="49"/>
      <c r="B242" s="90"/>
      <c r="C242" s="36"/>
      <c r="D242" s="36"/>
      <c r="E242" s="36"/>
      <c r="F242" s="36"/>
      <c r="G242" s="36"/>
      <c r="H242" s="36"/>
      <c r="I242" s="36">
        <f t="shared" si="3"/>
        <v>0</v>
      </c>
      <c r="J242" s="105"/>
      <c r="K242" s="36"/>
      <c r="L242" s="105"/>
      <c r="M242" s="40"/>
    </row>
    <row r="243" spans="1:13" ht="25" customHeight="1">
      <c r="A243" s="49" t="s">
        <v>387</v>
      </c>
      <c r="B243" s="106" t="str">
        <f>HYPERLINK("http://codeforces.com/contest/357/problem/A","CF357-D2-A")</f>
        <v>CF357-D2-A</v>
      </c>
      <c r="C243" s="36"/>
      <c r="D243" s="36"/>
      <c r="E243" s="36"/>
      <c r="F243" s="36"/>
      <c r="G243" s="36"/>
      <c r="H243" s="36"/>
      <c r="I243" s="36">
        <f t="shared" si="3"/>
        <v>0</v>
      </c>
      <c r="J243" s="105"/>
      <c r="K243" s="36"/>
      <c r="L243" s="105"/>
      <c r="M243" s="40"/>
    </row>
    <row r="244" spans="1:13" ht="25" customHeight="1">
      <c r="A244" s="49" t="s">
        <v>388</v>
      </c>
      <c r="B244" s="106" t="str">
        <f>HYPERLINK("http://codeforces.com/contest/651/problem/A","CF651-D2-A")</f>
        <v>CF651-D2-A</v>
      </c>
      <c r="C244" s="36"/>
      <c r="D244" s="36"/>
      <c r="E244" s="36"/>
      <c r="F244" s="36"/>
      <c r="G244" s="36"/>
      <c r="H244" s="36"/>
      <c r="I244" s="36">
        <f t="shared" si="3"/>
        <v>0</v>
      </c>
      <c r="J244" s="105"/>
      <c r="K244" s="36"/>
      <c r="L244" s="105"/>
      <c r="M244" s="40"/>
    </row>
    <row r="245" spans="1:13" ht="25" customHeight="1">
      <c r="A245" s="49" t="s">
        <v>389</v>
      </c>
      <c r="B245" s="106" t="str">
        <f>HYPERLINK("http://codeforces.com/contest/300/problem/A","CF300-D2-A")</f>
        <v>CF300-D2-A</v>
      </c>
      <c r="C245" s="36"/>
      <c r="D245" s="36"/>
      <c r="E245" s="36"/>
      <c r="F245" s="36"/>
      <c r="G245" s="36"/>
      <c r="H245" s="36"/>
      <c r="I245" s="36">
        <f t="shared" si="3"/>
        <v>0</v>
      </c>
      <c r="J245" s="105"/>
      <c r="K245" s="36"/>
      <c r="L245" s="105"/>
      <c r="M245" s="40"/>
    </row>
    <row r="246" spans="1:13" ht="25" customHeight="1">
      <c r="A246" s="56" t="s">
        <v>390</v>
      </c>
      <c r="B246" s="63" t="str">
        <f>HYPERLINK("http://codeforces.com/contest/659/problem/A","CF659-D2-A")</f>
        <v>CF659-D2-A</v>
      </c>
      <c r="C246" s="36"/>
      <c r="D246" s="36"/>
      <c r="E246" s="36"/>
      <c r="F246" s="36"/>
      <c r="G246" s="36"/>
      <c r="H246" s="36"/>
      <c r="I246" s="36">
        <f t="shared" si="3"/>
        <v>0</v>
      </c>
      <c r="J246" s="105"/>
      <c r="K246" s="36"/>
      <c r="L246" s="105"/>
      <c r="M246" s="40"/>
    </row>
    <row r="247" spans="1:13" ht="25" customHeight="1">
      <c r="A247" s="49" t="s">
        <v>391</v>
      </c>
      <c r="B247" s="106" t="str">
        <f>HYPERLINK("http://codeforces.com/contest/558/problem/A","CF558-D2-A")</f>
        <v>CF558-D2-A</v>
      </c>
      <c r="C247" s="36"/>
      <c r="D247" s="36"/>
      <c r="E247" s="36"/>
      <c r="F247" s="36"/>
      <c r="G247" s="36"/>
      <c r="H247" s="36"/>
      <c r="I247" s="36">
        <f t="shared" si="3"/>
        <v>0</v>
      </c>
      <c r="J247" s="105"/>
      <c r="K247" s="36"/>
      <c r="L247" s="105"/>
      <c r="M247" s="40"/>
    </row>
    <row r="248" spans="1:13" ht="25" customHeight="1">
      <c r="A248" s="49" t="s">
        <v>392</v>
      </c>
      <c r="B248" s="106" t="str">
        <f>HYPERLINK("http://codeforces.com/contest/53/problem/A","CF53-D2-A")</f>
        <v>CF53-D2-A</v>
      </c>
      <c r="C248" s="36"/>
      <c r="D248" s="36"/>
      <c r="E248" s="36"/>
      <c r="F248" s="36"/>
      <c r="G248" s="36"/>
      <c r="H248" s="36"/>
      <c r="I248" s="36">
        <f t="shared" si="3"/>
        <v>0</v>
      </c>
      <c r="J248" s="105"/>
      <c r="K248" s="36"/>
      <c r="L248" s="105"/>
      <c r="M248" s="40"/>
    </row>
    <row r="249" spans="1:13" ht="25" customHeight="1">
      <c r="A249" s="49" t="s">
        <v>393</v>
      </c>
      <c r="B249" s="106" t="str">
        <f>HYPERLINK("http://codeforces.com/contest/495/problem/A","CF495-D2-A")</f>
        <v>CF495-D2-A</v>
      </c>
      <c r="C249" s="36"/>
      <c r="D249" s="36"/>
      <c r="E249" s="36"/>
      <c r="F249" s="36"/>
      <c r="G249" s="36"/>
      <c r="H249" s="36"/>
      <c r="I249" s="36">
        <f t="shared" si="3"/>
        <v>0</v>
      </c>
      <c r="J249" s="105"/>
      <c r="K249" s="36"/>
      <c r="L249" s="105"/>
      <c r="M249" s="51" t="s">
        <v>288</v>
      </c>
    </row>
    <row r="250" spans="1:13" ht="25" customHeight="1">
      <c r="A250" s="49" t="s">
        <v>394</v>
      </c>
      <c r="B250" s="106" t="str">
        <f>HYPERLINK("http://codeforces.com/contest/75/problem/A","CF75-D2-A")</f>
        <v>CF75-D2-A</v>
      </c>
      <c r="C250" s="36"/>
      <c r="D250" s="36"/>
      <c r="E250" s="36"/>
      <c r="F250" s="36"/>
      <c r="G250" s="36"/>
      <c r="H250" s="36"/>
      <c r="I250" s="36">
        <f t="shared" si="3"/>
        <v>0</v>
      </c>
      <c r="J250" s="105"/>
      <c r="K250" s="36"/>
      <c r="L250" s="105"/>
      <c r="M250" s="51" t="s">
        <v>288</v>
      </c>
    </row>
  </sheetData>
  <mergeCells count="2">
    <mergeCell ref="D122:G122"/>
    <mergeCell ref="J122:M122"/>
  </mergeCells>
  <conditionalFormatting sqref="C3:C286">
    <cfRule type="cellIs" dxfId="79" priority="1" operator="equal">
      <formula>"AC"</formula>
    </cfRule>
    <cfRule type="containsText" dxfId="78" priority="2" operator="containsText" text="WA">
      <formula>NOT(ISERROR(SEARCH(("WA"),(C3))))</formula>
    </cfRule>
    <cfRule type="containsText" dxfId="77" priority="4" operator="containsText" text="TLE">
      <formula>NOT(ISERROR(SEARCH(("TLE"),(C3))))</formula>
    </cfRule>
    <cfRule type="containsText" dxfId="76" priority="6" operator="containsText" text="RTE">
      <formula>NOT(ISERROR(SEARCH(("RTE"),(C3))))</formula>
    </cfRule>
    <cfRule type="containsText" dxfId="75" priority="8" operator="containsText" text="CS">
      <formula>NOT(ISERROR(SEARCH(("CS"),(C3))))</formula>
    </cfRule>
  </conditionalFormatting>
  <conditionalFormatting sqref="K3:K120 K124:K250">
    <cfRule type="cellIs" dxfId="74" priority="10" operator="equal">
      <formula>"No"</formula>
    </cfRule>
    <cfRule type="cellIs" dxfId="73" priority="11" operator="equal">
      <formula>"no"</formula>
    </cfRule>
    <cfRule type="cellIs" dxfId="72" priority="12" operator="equal">
      <formula>"NO"</formula>
    </cfRule>
  </conditionalFormatting>
  <hyperlinks>
    <hyperlink ref="L11" r:id="rId1" xr:uid="{00000000-0004-0000-0200-000000000000}"/>
    <hyperlink ref="L12" r:id="rId2" xr:uid="{00000000-0004-0000-0200-000001000000}"/>
    <hyperlink ref="M134" r:id="rId3" xr:uid="{00000000-0004-0000-0200-000002000000}"/>
    <hyperlink ref="M135" r:id="rId4" xr:uid="{00000000-0004-0000-0200-000003000000}"/>
    <hyperlink ref="M137" r:id="rId5" xr:uid="{00000000-0004-0000-0200-000004000000}"/>
    <hyperlink ref="M138" r:id="rId6" xr:uid="{00000000-0004-0000-0200-000005000000}"/>
    <hyperlink ref="M139" r:id="rId7" xr:uid="{00000000-0004-0000-0200-000006000000}"/>
    <hyperlink ref="M140" r:id="rId8" xr:uid="{00000000-0004-0000-0200-000007000000}"/>
    <hyperlink ref="M141" r:id="rId9" xr:uid="{00000000-0004-0000-0200-000008000000}"/>
    <hyperlink ref="M143" r:id="rId10" xr:uid="{00000000-0004-0000-0200-000009000000}"/>
    <hyperlink ref="M146" r:id="rId11" xr:uid="{00000000-0004-0000-0200-00000A000000}"/>
    <hyperlink ref="M147" r:id="rId12" xr:uid="{00000000-0004-0000-0200-00000B000000}"/>
    <hyperlink ref="M148" r:id="rId13" xr:uid="{00000000-0004-0000-0200-00000C000000}"/>
    <hyperlink ref="M149" r:id="rId14" xr:uid="{00000000-0004-0000-0200-00000D000000}"/>
    <hyperlink ref="M154" r:id="rId15" xr:uid="{00000000-0004-0000-0200-00000E000000}"/>
    <hyperlink ref="M156" r:id="rId16" xr:uid="{00000000-0004-0000-0200-00000F000000}"/>
    <hyperlink ref="M157" r:id="rId17" xr:uid="{00000000-0004-0000-0200-000010000000}"/>
    <hyperlink ref="M158" r:id="rId18" xr:uid="{00000000-0004-0000-0200-000011000000}"/>
    <hyperlink ref="M159" r:id="rId19" xr:uid="{00000000-0004-0000-0200-000012000000}"/>
    <hyperlink ref="M160" r:id="rId20" xr:uid="{00000000-0004-0000-0200-000013000000}"/>
    <hyperlink ref="M161" r:id="rId21" xr:uid="{00000000-0004-0000-0200-000014000000}"/>
    <hyperlink ref="M162" r:id="rId22" xr:uid="{00000000-0004-0000-0200-000015000000}"/>
    <hyperlink ref="M163" r:id="rId23" xr:uid="{00000000-0004-0000-0200-000016000000}"/>
    <hyperlink ref="M165" r:id="rId24" xr:uid="{00000000-0004-0000-0200-000017000000}"/>
    <hyperlink ref="M168" r:id="rId25" xr:uid="{00000000-0004-0000-0200-000018000000}"/>
    <hyperlink ref="M249" r:id="rId26" xr:uid="{00000000-0004-0000-0200-000019000000}"/>
    <hyperlink ref="M250" r:id="rId27" xr:uid="{00000000-0004-0000-0200-00001A000000}"/>
  </hyperlinks>
  <pageMargins left="0.7" right="0.7" top="0.75" bottom="0.75" header="0.3" footer="0.3"/>
  <pageSetup orientation="portrait" r:id="rId2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M218"/>
  <sheetViews>
    <sheetView workbookViewId="0">
      <pane ySplit="2" topLeftCell="A198" activePane="bottomLeft" state="frozen"/>
      <selection pane="bottomLeft" activeCell="B137" sqref="B137"/>
    </sheetView>
  </sheetViews>
  <sheetFormatPr defaultColWidth="15.1796875" defaultRowHeight="15.75" customHeight="1"/>
  <cols>
    <col min="1" max="1" width="14" customWidth="1"/>
    <col min="2" max="2" width="15" customWidth="1"/>
    <col min="3" max="3" width="6" customWidth="1"/>
    <col min="4" max="4" width="6.453125" customWidth="1"/>
    <col min="5" max="5" width="7.453125" customWidth="1"/>
    <col min="6" max="6" width="7.54296875" customWidth="1"/>
    <col min="7" max="7" width="8.7265625" customWidth="1"/>
    <col min="8" max="9" width="7.453125" customWidth="1"/>
    <col min="10" max="12" width="8.7265625" customWidth="1"/>
    <col min="13" max="13" width="69.54296875" customWidth="1"/>
  </cols>
  <sheetData>
    <row r="1" spans="1:13" ht="25">
      <c r="A1" s="108"/>
      <c r="B1" s="33" t="s">
        <v>147</v>
      </c>
      <c r="C1" s="32" t="s">
        <v>148</v>
      </c>
      <c r="D1" s="32" t="s">
        <v>149</v>
      </c>
      <c r="E1" s="32" t="s">
        <v>150</v>
      </c>
      <c r="F1" s="32" t="s">
        <v>151</v>
      </c>
      <c r="G1" s="32" t="s">
        <v>152</v>
      </c>
      <c r="H1" s="32" t="s">
        <v>153</v>
      </c>
      <c r="I1" s="32" t="s">
        <v>154</v>
      </c>
      <c r="J1" s="32" t="s">
        <v>155</v>
      </c>
      <c r="K1" s="32" t="s">
        <v>156</v>
      </c>
      <c r="L1" s="32" t="s">
        <v>157</v>
      </c>
      <c r="M1" s="34" t="s">
        <v>158</v>
      </c>
    </row>
    <row r="2" spans="1:13" ht="13">
      <c r="A2" s="109"/>
      <c r="B2" s="10" t="s">
        <v>159</v>
      </c>
      <c r="C2" s="37">
        <f>COUNTIF(C3:C10479, "AC")</f>
        <v>0</v>
      </c>
      <c r="D2" s="37" t="e">
        <f ca="1">ROUND(SUMPRODUCT(D3:D10479,INT(EQ(C3:C10479, "AC")))/MAX(1, C2),1)</f>
        <v>#NAME?</v>
      </c>
      <c r="E2" s="37" t="e">
        <f ca="1">ROUND(SUMPRODUCT(E3:E10501,INT(EQ(C3:C10501, "AC")))/MAX(1, C2),0)</f>
        <v>#NAME?</v>
      </c>
      <c r="F2" s="37" t="e">
        <f ca="1">ROUND(SUMPRODUCT(F3:F10504,INT(EQ(C3:C10504, "AC")))/MAX(1, C2),0)</f>
        <v>#NAME?</v>
      </c>
      <c r="G2" s="37" t="e">
        <f ca="1">ROUND(SUMPRODUCT(G3:G10504,INT(EQ(C3:C10504, "AC")))/MAX(1, C2),0)</f>
        <v>#NAME?</v>
      </c>
      <c r="H2" s="37" t="e">
        <f ca="1">ROUND(SUMPRODUCT(H3:H10504,INT(EQ(C3:C10504, "AC")))/MAX(1, C2),0)</f>
        <v>#NAME?</v>
      </c>
      <c r="I2" s="37" t="e">
        <f ca="1">ROUND(SUMPRODUCT(I3:I10476,INT(EQ(C3:C10476, "AC")))/MAX(1, C2),0)</f>
        <v>#NAME?</v>
      </c>
      <c r="J2" s="37" t="e">
        <f ca="1">ROUND(SUMPRODUCT(J3:J10474,INT(EQ(C3:C10474, "AC")))/MAX(1, C2),1)</f>
        <v>#NAME?</v>
      </c>
      <c r="K2" s="37" t="e">
        <f ca="1">SUMPRODUCT(EQ(K3:K10479, "YES"),INT(EQ(C3:C10504, "AC")))</f>
        <v>#NAME?</v>
      </c>
      <c r="L2" s="38">
        <f ca="1">IFERROR(__xludf.DUMMYFUNCTION("COUNTA(FILTER(C3:C9971, NOT(REGEXMATCH(C3:C9971, ""AC""))))"),0)</f>
        <v>0</v>
      </c>
      <c r="M2" s="39">
        <f ca="1">IFERROR(__xludf.DUMMYFUNCTION("COUNTA(FILTER(C3:C9965, NOT(REGEXMATCH(C3:C9965, ""AC""))))"),0)</f>
        <v>0</v>
      </c>
    </row>
    <row r="3" spans="1:13" ht="13">
      <c r="A3" s="56"/>
      <c r="B3" s="10"/>
      <c r="C3" s="67"/>
      <c r="D3" s="67"/>
      <c r="E3" s="67"/>
      <c r="F3" s="67"/>
      <c r="G3" s="67"/>
      <c r="H3" s="67"/>
      <c r="I3" s="36">
        <f t="shared" ref="I3:I55" si="0">SUM(E3:H3)</f>
        <v>0</v>
      </c>
      <c r="J3" s="36"/>
      <c r="K3" s="36"/>
      <c r="L3" s="67"/>
      <c r="M3" s="110" t="str">
        <f>HYPERLINK("https://www.youtube.com/watch?v=x1rCxxKfFbM","Watch - Thinking - Problem Simplification ")</f>
        <v xml:space="preserve">Watch - Thinking - Problem Simplification </v>
      </c>
    </row>
    <row r="4" spans="1:13" ht="13">
      <c r="A4" s="56"/>
      <c r="B4" s="10"/>
      <c r="C4" s="67"/>
      <c r="D4" s="67"/>
      <c r="E4" s="67"/>
      <c r="F4" s="67"/>
      <c r="G4" s="67"/>
      <c r="H4" s="67"/>
      <c r="I4" s="36">
        <f t="shared" si="0"/>
        <v>0</v>
      </c>
      <c r="J4" s="36"/>
      <c r="K4" s="36"/>
      <c r="L4" s="67"/>
      <c r="M4" s="110" t="str">
        <f>HYPERLINK("https://www.youtube.com/watch?v=7z1498LTCgg","Watch - Thinking - Brainstorm - Rank - Approach ")</f>
        <v xml:space="preserve">Watch - Thinking - Brainstorm - Rank - Approach </v>
      </c>
    </row>
    <row r="5" spans="1:13" ht="12.5">
      <c r="A5" s="56"/>
      <c r="B5" s="10"/>
      <c r="C5" s="67"/>
      <c r="D5" s="67"/>
      <c r="E5" s="67"/>
      <c r="F5" s="67"/>
      <c r="G5" s="67"/>
      <c r="H5" s="67"/>
      <c r="I5" s="36">
        <f t="shared" si="0"/>
        <v>0</v>
      </c>
      <c r="J5" s="36"/>
      <c r="K5" s="36"/>
      <c r="L5" s="67"/>
      <c r="M5" s="111" t="s">
        <v>395</v>
      </c>
    </row>
    <row r="6" spans="1:13" ht="13">
      <c r="A6" s="56"/>
      <c r="B6" s="112"/>
      <c r="C6" s="67"/>
      <c r="D6" s="67"/>
      <c r="E6" s="67"/>
      <c r="F6" s="67"/>
      <c r="G6" s="67"/>
      <c r="H6" s="67"/>
      <c r="I6" s="36">
        <f t="shared" si="0"/>
        <v>0</v>
      </c>
      <c r="J6" s="36"/>
      <c r="K6" s="36"/>
      <c r="L6" s="67"/>
      <c r="M6" s="113" t="str">
        <f>HYPERLINK("https://www.youtube.com/watch?v=9wvqNeX_JnI","Watch - Combinatorics - Permutations and Combinations - 1")</f>
        <v>Watch - Combinatorics - Permutations and Combinations - 1</v>
      </c>
    </row>
    <row r="7" spans="1:13" ht="13">
      <c r="A7" s="56"/>
      <c r="B7" s="112"/>
      <c r="C7" s="67"/>
      <c r="D7" s="67"/>
      <c r="E7" s="67"/>
      <c r="F7" s="67"/>
      <c r="G7" s="67"/>
      <c r="H7" s="67"/>
      <c r="I7" s="36">
        <f t="shared" si="0"/>
        <v>0</v>
      </c>
      <c r="J7" s="36"/>
      <c r="K7" s="36"/>
      <c r="L7" s="67"/>
      <c r="M7" s="113" t="str">
        <f>HYPERLINK("https://www.youtube.com/watch?v=8V_xhaPpjmM","Watch - Combinatorics - Permutations and Combinations - 2")</f>
        <v>Watch - Combinatorics - Permutations and Combinations - 2</v>
      </c>
    </row>
    <row r="8" spans="1:13" ht="12.5">
      <c r="A8" s="46" t="s">
        <v>396</v>
      </c>
      <c r="B8" s="31" t="str">
        <f>HYPERLINK("http://codeforces.com/contest/66/problem/B","CF66-D2-B")</f>
        <v>CF66-D2-B</v>
      </c>
      <c r="C8" s="67"/>
      <c r="D8" s="67"/>
      <c r="E8" s="67"/>
      <c r="F8" s="67"/>
      <c r="G8" s="67"/>
      <c r="H8" s="67"/>
      <c r="I8" s="36">
        <f t="shared" si="0"/>
        <v>0</v>
      </c>
      <c r="J8" s="36"/>
      <c r="K8" s="36"/>
      <c r="L8" s="67"/>
      <c r="M8" s="59" t="str">
        <f>HYPERLINK("https://www.youtube.com/watch?v=XRgCL-gVU7M&amp;feature=youtu.be","Video Solution - Eng Muntaser Abukadeja")</f>
        <v>Video Solution - Eng Muntaser Abukadeja</v>
      </c>
    </row>
    <row r="9" spans="1:13" ht="12.5">
      <c r="A9" s="46" t="s">
        <v>397</v>
      </c>
      <c r="B9" s="31" t="str">
        <f>HYPERLINK("http://codeforces.com/contest/680/problem/B","CF680-D2-B")</f>
        <v>CF680-D2-B</v>
      </c>
      <c r="C9" s="67"/>
      <c r="D9" s="67"/>
      <c r="E9" s="67"/>
      <c r="F9" s="67"/>
      <c r="G9" s="67"/>
      <c r="H9" s="67"/>
      <c r="I9" s="36">
        <f t="shared" si="0"/>
        <v>0</v>
      </c>
      <c r="J9" s="36"/>
      <c r="K9" s="36"/>
      <c r="L9" s="67"/>
      <c r="M9" s="59" t="str">
        <f>HYPERLINK("https://www.youtube.com/watch?v=oKRNtI-ZI5g&amp;feature=youtu.be","Video Solution - Eng Muntaser Abukadeja")</f>
        <v>Video Solution - Eng Muntaser Abukadeja</v>
      </c>
    </row>
    <row r="10" spans="1:13" ht="12.5">
      <c r="A10" s="46" t="s">
        <v>398</v>
      </c>
      <c r="B10" s="31" t="str">
        <f>HYPERLINK("http://codeforces.com/contest/16/problem/B","CF16-D2-B")</f>
        <v>CF16-D2-B</v>
      </c>
      <c r="C10" s="67"/>
      <c r="D10" s="67"/>
      <c r="E10" s="67"/>
      <c r="F10" s="67"/>
      <c r="G10" s="67"/>
      <c r="H10" s="67"/>
      <c r="I10" s="36">
        <f t="shared" si="0"/>
        <v>0</v>
      </c>
      <c r="J10" s="36"/>
      <c r="K10" s="36"/>
      <c r="L10" s="67"/>
      <c r="M10" s="59" t="str">
        <f>HYPERLINK("https://www.youtube.com/watch?v=eDg_yuWBS8o&amp;feature=youtu.be","Video Solution - Eng Muntaser Abukadeja")</f>
        <v>Video Solution - Eng Muntaser Abukadeja</v>
      </c>
    </row>
    <row r="11" spans="1:13" ht="12.5">
      <c r="A11" s="46" t="s">
        <v>399</v>
      </c>
      <c r="B11" s="31" t="str">
        <f>HYPERLINK("http://codeforces.com/contest/463/problem/B","CF463-D2-B")</f>
        <v>CF463-D2-B</v>
      </c>
      <c r="C11" s="67"/>
      <c r="D11" s="67"/>
      <c r="E11" s="67"/>
      <c r="F11" s="67"/>
      <c r="G11" s="67"/>
      <c r="H11" s="67"/>
      <c r="I11" s="36">
        <f t="shared" si="0"/>
        <v>0</v>
      </c>
      <c r="J11" s="36"/>
      <c r="K11" s="36"/>
      <c r="L11" s="67"/>
      <c r="M11" s="59" t="str">
        <f>HYPERLINK("https://www.youtube.com/watch?v=c6X5U5HATAA","Video Solution - Eng Muntaser Abukadeja")</f>
        <v>Video Solution - Eng Muntaser Abukadeja</v>
      </c>
    </row>
    <row r="12" spans="1:13" ht="12.5">
      <c r="A12" s="46" t="s">
        <v>400</v>
      </c>
      <c r="B12" s="31" t="str">
        <f>HYPERLINK("http://codeforces.com/contest/102/problem/B","CF102-D2-B")</f>
        <v>CF102-D2-B</v>
      </c>
      <c r="C12" s="67"/>
      <c r="D12" s="67"/>
      <c r="E12" s="67"/>
      <c r="F12" s="67"/>
      <c r="G12" s="67"/>
      <c r="H12" s="67"/>
      <c r="I12" s="36">
        <f t="shared" si="0"/>
        <v>0</v>
      </c>
      <c r="J12" s="36"/>
      <c r="K12" s="36"/>
      <c r="L12" s="67"/>
      <c r="M12" s="59" t="str">
        <f>HYPERLINK("https://www.youtube.com/watch?v=_qdIm9Yj9_U","Video Solution - Eng Muntaser Abukadeja")</f>
        <v>Video Solution - Eng Muntaser Abukadeja</v>
      </c>
    </row>
    <row r="13" spans="1:13" ht="12.5">
      <c r="A13" s="46" t="s">
        <v>401</v>
      </c>
      <c r="B13" s="31" t="str">
        <f>HYPERLINK("http://codeforces.com/contest/47/problem/B","CF47-D2-B")</f>
        <v>CF47-D2-B</v>
      </c>
      <c r="C13" s="67"/>
      <c r="D13" s="67"/>
      <c r="E13" s="67"/>
      <c r="F13" s="67"/>
      <c r="G13" s="67"/>
      <c r="H13" s="67"/>
      <c r="I13" s="36">
        <f t="shared" si="0"/>
        <v>0</v>
      </c>
      <c r="J13" s="36"/>
      <c r="K13" s="36"/>
      <c r="L13" s="67"/>
      <c r="M13" s="59" t="str">
        <f>HYPERLINK("https://www.youtube.com/watch?v=lvK0ZlpWeEY&amp;feature=youtu.be","Video Solution - Eng Samed Hajajla")</f>
        <v>Video Solution - Eng Samed Hajajla</v>
      </c>
    </row>
    <row r="14" spans="1:13" ht="12.5">
      <c r="A14" s="46" t="s">
        <v>402</v>
      </c>
      <c r="B14" s="31" t="str">
        <f>HYPERLINK("http://codeforces.com/contest/227/problem/B","CF227-D2-B")</f>
        <v>CF227-D2-B</v>
      </c>
      <c r="C14" s="67"/>
      <c r="D14" s="67"/>
      <c r="E14" s="67"/>
      <c r="F14" s="67"/>
      <c r="G14" s="67"/>
      <c r="H14" s="67"/>
      <c r="I14" s="36">
        <f t="shared" si="0"/>
        <v>0</v>
      </c>
      <c r="J14" s="36"/>
      <c r="K14" s="36"/>
      <c r="L14" s="67"/>
      <c r="M14" s="59" t="str">
        <f>HYPERLINK("https://www.youtube.com/watch?v=76gg4S0A2nk","Video Solution - Eng Abanob Ashraf")</f>
        <v>Video Solution - Eng Abanob Ashraf</v>
      </c>
    </row>
    <row r="15" spans="1:13" ht="12.5">
      <c r="A15" s="46" t="s">
        <v>403</v>
      </c>
      <c r="B15" s="31" t="str">
        <f>HYPERLINK("http://codeforces.com/contest/78/problem/B","CF78-D2-B")</f>
        <v>CF78-D2-B</v>
      </c>
      <c r="C15" s="67"/>
      <c r="D15" s="67"/>
      <c r="E15" s="67"/>
      <c r="F15" s="67"/>
      <c r="G15" s="67"/>
      <c r="H15" s="67"/>
      <c r="I15" s="36">
        <f t="shared" si="0"/>
        <v>0</v>
      </c>
      <c r="J15" s="36"/>
      <c r="K15" s="36"/>
      <c r="L15" s="67"/>
      <c r="M15" s="59" t="str">
        <f>HYPERLINK("https://www.youtube.com/watch?v=rJN_rI2xiV4","Video Solution - Eng Abanob Ashraf")</f>
        <v>Video Solution - Eng Abanob Ashraf</v>
      </c>
    </row>
    <row r="16" spans="1:13" ht="12.5">
      <c r="A16" s="56" t="s">
        <v>404</v>
      </c>
      <c r="B16" s="63" t="str">
        <f>HYPERLINK("http://codeforces.com/contest/746/problem/B","CF746-D2-B")</f>
        <v>CF746-D2-B</v>
      </c>
      <c r="C16" s="67"/>
      <c r="D16" s="67"/>
      <c r="E16" s="67"/>
      <c r="F16" s="67"/>
      <c r="G16" s="67"/>
      <c r="H16" s="67"/>
      <c r="I16" s="36">
        <f t="shared" si="0"/>
        <v>0</v>
      </c>
      <c r="J16" s="36"/>
      <c r="K16" s="36"/>
      <c r="L16" s="67"/>
      <c r="M16" s="59" t="str">
        <f>HYPERLINK("https://www.youtube.com/watch?v=FI5HvI9SQtA","Video Solution - Solver to be (Java)")</f>
        <v>Video Solution - Solver to be (Java)</v>
      </c>
    </row>
    <row r="17" spans="1:13" ht="13">
      <c r="A17" s="56"/>
      <c r="B17" s="112"/>
      <c r="C17" s="67"/>
      <c r="D17" s="67"/>
      <c r="E17" s="67"/>
      <c r="F17" s="67"/>
      <c r="G17" s="67"/>
      <c r="H17" s="67"/>
      <c r="I17" s="36">
        <f t="shared" si="0"/>
        <v>0</v>
      </c>
      <c r="J17" s="36"/>
      <c r="K17" s="36"/>
      <c r="L17" s="67"/>
      <c r="M17" s="114" t="str">
        <f>HYPERLINK("https://www.youtube.com/watch?v=tKGztXjnnuA","Watch - Training-Secrets of Success")</f>
        <v>Watch - Training-Secrets of Success</v>
      </c>
    </row>
    <row r="18" spans="1:13" ht="13">
      <c r="A18" s="56"/>
      <c r="B18" s="112"/>
      <c r="C18" s="67"/>
      <c r="D18" s="67"/>
      <c r="E18" s="67"/>
      <c r="F18" s="67"/>
      <c r="G18" s="67"/>
      <c r="H18" s="67"/>
      <c r="I18" s="36">
        <f t="shared" si="0"/>
        <v>0</v>
      </c>
      <c r="J18" s="36"/>
      <c r="K18" s="36"/>
      <c r="L18" s="67"/>
      <c r="M18" s="114" t="str">
        <f>HYPERLINK("https://www.youtube.com/watch?v=6QS_Cup1YoI","Revise Stack/Queue datastructure concepts. Learn using STL")</f>
        <v>Revise Stack/Queue datastructure concepts. Learn using STL</v>
      </c>
    </row>
    <row r="19" spans="1:13" ht="13">
      <c r="A19" s="56"/>
      <c r="B19" s="112"/>
      <c r="C19" s="67"/>
      <c r="D19" s="67"/>
      <c r="E19" s="67"/>
      <c r="F19" s="67"/>
      <c r="G19" s="67"/>
      <c r="H19" s="67"/>
      <c r="I19" s="36">
        <f t="shared" si="0"/>
        <v>0</v>
      </c>
      <c r="J19" s="36"/>
      <c r="K19" s="36"/>
      <c r="L19" s="67"/>
      <c r="M19" s="113" t="str">
        <f>HYPERLINK("https://www.youtube.com/watch?v=YklnFXpq0ZE","Watch - Number Theory - Fib, GCD, LCM, Pow")</f>
        <v>Watch - Number Theory - Fib, GCD, LCM, Pow</v>
      </c>
    </row>
    <row r="20" spans="1:13" ht="12.5">
      <c r="A20" s="74" t="s">
        <v>405</v>
      </c>
      <c r="B20" s="115" t="str">
        <f>HYPERLINK("https://uva.onlinejudge.org/index.php?option=onlinejudge&amp;page=show_problem&amp;problem=310","UVA 374")</f>
        <v>UVA 374</v>
      </c>
      <c r="C20" s="67"/>
      <c r="D20" s="67"/>
      <c r="E20" s="67"/>
      <c r="F20" s="67"/>
      <c r="G20" s="67"/>
      <c r="H20" s="67"/>
      <c r="I20" s="36">
        <f t="shared" si="0"/>
        <v>0</v>
      </c>
      <c r="J20" s="36"/>
      <c r="K20" s="36"/>
      <c r="L20" s="67"/>
      <c r="M20" s="56"/>
    </row>
    <row r="21" spans="1:13" ht="12.5">
      <c r="A21" s="74" t="s">
        <v>406</v>
      </c>
      <c r="B21" s="23" t="str">
        <f>HYPERLINK("https://uva.onlinejudge.org/index.php?option=onlinejudge&amp;page=show_problem&amp;problem=305","UVA 369")</f>
        <v>UVA 369</v>
      </c>
      <c r="C21" s="67"/>
      <c r="D21" s="67"/>
      <c r="E21" s="67"/>
      <c r="F21" s="67"/>
      <c r="G21" s="67"/>
      <c r="H21" s="67"/>
      <c r="I21" s="36">
        <f t="shared" si="0"/>
        <v>0</v>
      </c>
      <c r="J21" s="36"/>
      <c r="K21" s="36"/>
      <c r="L21" s="67"/>
      <c r="M21" s="56"/>
    </row>
    <row r="22" spans="1:13" ht="12.5">
      <c r="A22" s="74" t="s">
        <v>407</v>
      </c>
      <c r="B22" s="23" t="str">
        <f>HYPERLINK("https://uva.onlinejudge.org/index.php?option=onlinejudge&amp;page=show_problem&amp;problem=353","UVA 412")</f>
        <v>UVA 412</v>
      </c>
      <c r="C22" s="67"/>
      <c r="D22" s="67"/>
      <c r="E22" s="67"/>
      <c r="F22" s="67"/>
      <c r="G22" s="67"/>
      <c r="H22" s="67"/>
      <c r="I22" s="36">
        <f t="shared" si="0"/>
        <v>0</v>
      </c>
      <c r="J22" s="36"/>
      <c r="K22" s="36"/>
      <c r="L22" s="67"/>
      <c r="M22" s="116" t="str">
        <f>HYPERLINK("https://www.youtube.com/watch?v=NmumgTB7B9c&amp;feature=youtu.be","Video Solution - Eng Mohamed Adel")</f>
        <v>Video Solution - Eng Mohamed Adel</v>
      </c>
    </row>
    <row r="23" spans="1:13" ht="12.5">
      <c r="A23" s="79" t="s">
        <v>408</v>
      </c>
      <c r="B23" s="117" t="str">
        <f>HYPERLINK("https://uva.onlinejudge.org/index.php?option=onlinejudge&amp;page=show_problem&amp;problem=654","UVA 713")</f>
        <v>UVA 713</v>
      </c>
      <c r="C23" s="36"/>
      <c r="D23" s="36"/>
      <c r="E23" s="36"/>
      <c r="F23" s="36"/>
      <c r="G23" s="36"/>
      <c r="H23" s="36"/>
      <c r="I23" s="36">
        <f t="shared" si="0"/>
        <v>0</v>
      </c>
      <c r="J23" s="36"/>
      <c r="K23" s="36"/>
      <c r="L23" s="36"/>
      <c r="M23" s="40" t="s">
        <v>409</v>
      </c>
    </row>
    <row r="24" spans="1:13" ht="12.5">
      <c r="A24" s="79" t="s">
        <v>410</v>
      </c>
      <c r="B24" s="118" t="str">
        <f>HYPERLINK("http://acm.timus.ru/problem.aspx?space=1&amp;num=1607","TIMUS 1607")</f>
        <v>TIMUS 1607</v>
      </c>
      <c r="C24" s="36"/>
      <c r="D24" s="36"/>
      <c r="E24" s="36"/>
      <c r="F24" s="36"/>
      <c r="G24" s="36"/>
      <c r="H24" s="36"/>
      <c r="I24" s="36">
        <f t="shared" si="0"/>
        <v>0</v>
      </c>
      <c r="J24" s="36"/>
      <c r="K24" s="36"/>
      <c r="L24" s="36"/>
      <c r="M24" s="40" t="s">
        <v>411</v>
      </c>
    </row>
    <row r="25" spans="1:13" ht="12.5">
      <c r="A25" s="79" t="s">
        <v>412</v>
      </c>
      <c r="B25" s="118" t="str">
        <f>HYPERLINK("https://icpcarchive.ecs.baylor.edu/index.php?option=com_onlinejudge&amp;Itemid=8&amp;page=show_problem&amp;problem=558","LIVEARCHIVE 2557")</f>
        <v>LIVEARCHIVE 2557</v>
      </c>
      <c r="C25" s="36"/>
      <c r="D25" s="36"/>
      <c r="E25" s="36"/>
      <c r="F25" s="36"/>
      <c r="G25" s="36"/>
      <c r="H25" s="36"/>
      <c r="I25" s="36">
        <f t="shared" si="0"/>
        <v>0</v>
      </c>
      <c r="J25" s="36"/>
      <c r="K25" s="36"/>
      <c r="L25" s="36"/>
      <c r="M25" s="55" t="str">
        <f>HYPERLINK("https://raw.githubusercontent.com/NadaAlaa/CompetitiveProgramming/master/LiveArchive/2557.cpp","Find a formula")</f>
        <v>Find a formula</v>
      </c>
    </row>
    <row r="26" spans="1:13" ht="12.5">
      <c r="A26" s="79" t="s">
        <v>413</v>
      </c>
      <c r="B26" s="80" t="str">
        <f>HYPERLINK("http://codeforces.com/contest/492/problem/B","CF492-D2-B")</f>
        <v>CF492-D2-B</v>
      </c>
      <c r="C26" s="10"/>
      <c r="D26" s="10"/>
      <c r="E26" s="10"/>
      <c r="F26" s="10"/>
      <c r="G26" s="10"/>
      <c r="H26" s="67"/>
      <c r="I26" s="36">
        <f t="shared" si="0"/>
        <v>0</v>
      </c>
      <c r="J26" s="36"/>
      <c r="K26" s="36"/>
      <c r="L26" s="10"/>
      <c r="M26" s="70" t="str">
        <f>HYPERLINK("https://www.youtube.com/watch?v=i4fMKTt8e84","Video Solution - Solver to be (Java)")</f>
        <v>Video Solution - Solver to be (Java)</v>
      </c>
    </row>
    <row r="27" spans="1:13" ht="13">
      <c r="A27" s="56"/>
      <c r="B27" s="112"/>
      <c r="C27" s="67"/>
      <c r="D27" s="67"/>
      <c r="E27" s="67"/>
      <c r="F27" s="67"/>
      <c r="G27" s="67"/>
      <c r="H27" s="67"/>
      <c r="I27" s="36">
        <f t="shared" si="0"/>
        <v>0</v>
      </c>
      <c r="J27" s="36"/>
      <c r="K27" s="36"/>
      <c r="L27" s="67"/>
      <c r="M27" s="119" t="str">
        <f>HYPERLINK("https://www.youtube.com/watch?v=hqOqr6vFPp8","Watch - Prefix Sum")</f>
        <v>Watch - Prefix Sum</v>
      </c>
    </row>
    <row r="28" spans="1:13" ht="12.5">
      <c r="A28" s="56" t="s">
        <v>414</v>
      </c>
      <c r="B28" s="115" t="str">
        <f>HYPERLINK("http://codeforces.com/contest/433/problem/B","CF433-D2-B")</f>
        <v>CF433-D2-B</v>
      </c>
      <c r="C28" s="10"/>
      <c r="D28" s="10"/>
      <c r="E28" s="10"/>
      <c r="F28" s="10"/>
      <c r="G28" s="10"/>
      <c r="H28" s="10"/>
      <c r="I28" s="67">
        <f t="shared" si="0"/>
        <v>0</v>
      </c>
      <c r="J28" s="10"/>
      <c r="K28" s="10"/>
      <c r="L28" s="10"/>
      <c r="M28" s="10"/>
    </row>
    <row r="29" spans="1:13" ht="12.5">
      <c r="A29" s="56" t="s">
        <v>415</v>
      </c>
      <c r="B29" s="115" t="str">
        <f>HYPERLINK("http://codeforces.com/contest/363/problem/B","CF363-D2-B")</f>
        <v>CF363-D2-B</v>
      </c>
      <c r="C29" s="10"/>
      <c r="D29" s="10"/>
      <c r="E29" s="10"/>
      <c r="F29" s="10"/>
      <c r="G29" s="10"/>
      <c r="H29" s="10"/>
      <c r="I29" s="67">
        <f t="shared" si="0"/>
        <v>0</v>
      </c>
      <c r="J29" s="10"/>
      <c r="K29" s="10"/>
      <c r="L29" s="10"/>
      <c r="M29" s="87" t="str">
        <f>HYPERLINK("https://www.youtube.com/watch?v=uwbfFMVMYBg&amp;feature=youtu.be","Video Solution - Eng Muntaser Abukadeja")</f>
        <v>Video Solution - Eng Muntaser Abukadeja</v>
      </c>
    </row>
    <row r="30" spans="1:13" ht="12.5">
      <c r="A30" s="46" t="s">
        <v>416</v>
      </c>
      <c r="B30" s="31" t="str">
        <f>HYPERLINK("http://codeforces.com/contest/6/problem/B","CF6-D2-B")</f>
        <v>CF6-D2-B</v>
      </c>
      <c r="C30" s="67"/>
      <c r="D30" s="67"/>
      <c r="E30" s="67"/>
      <c r="F30" s="67"/>
      <c r="G30" s="67"/>
      <c r="H30" s="67"/>
      <c r="I30" s="36">
        <f t="shared" si="0"/>
        <v>0</v>
      </c>
      <c r="J30" s="36"/>
      <c r="K30" s="36"/>
      <c r="L30" s="67"/>
      <c r="M30" s="59" t="str">
        <f>HYPERLINK("https://www.youtube.com/watch?v=FTM7HQahAc8&amp;feature=youtu.be","Video Solution - Eng Muntaser Abukadeja")</f>
        <v>Video Solution - Eng Muntaser Abukadeja</v>
      </c>
    </row>
    <row r="31" spans="1:13" ht="12.5">
      <c r="A31" s="60" t="s">
        <v>417</v>
      </c>
      <c r="B31" s="120" t="str">
        <f>HYPERLINK("http://codeforces.com/contest/688/problem/B","CF688-D2-B")</f>
        <v>CF688-D2-B</v>
      </c>
      <c r="C31" s="10"/>
      <c r="D31" s="10"/>
      <c r="E31" s="10"/>
      <c r="F31" s="10"/>
      <c r="G31" s="10"/>
      <c r="H31" s="67"/>
      <c r="I31" s="36">
        <f t="shared" si="0"/>
        <v>0</v>
      </c>
      <c r="J31" s="36"/>
      <c r="K31" s="36"/>
      <c r="L31" s="10"/>
      <c r="M31" s="59" t="str">
        <f>HYPERLINK("https://www.youtube.com/watch?v=sy_g77hnbaA","Video Solution - Solver to be (Java)")</f>
        <v>Video Solution - Solver to be (Java)</v>
      </c>
    </row>
    <row r="32" spans="1:13" ht="12.5">
      <c r="A32" s="60" t="s">
        <v>418</v>
      </c>
      <c r="B32" s="120" t="str">
        <f>HYPERLINK("http://codeforces.com/contest/451/problem/B","CF451-D2-B")</f>
        <v>CF451-D2-B</v>
      </c>
      <c r="C32" s="10"/>
      <c r="D32" s="10"/>
      <c r="E32" s="10"/>
      <c r="F32" s="10"/>
      <c r="G32" s="10"/>
      <c r="H32" s="67"/>
      <c r="I32" s="36">
        <f t="shared" si="0"/>
        <v>0</v>
      </c>
      <c r="J32" s="36"/>
      <c r="K32" s="36"/>
      <c r="L32" s="10"/>
      <c r="M32" s="59" t="str">
        <f>HYPERLINK("https://www.youtube.com/watch?v=I_WHkB7Aeeo","Video Solution - Solver to be (Java)")</f>
        <v>Video Solution - Solver to be (Java)</v>
      </c>
    </row>
    <row r="33" spans="1:13" ht="12.5">
      <c r="A33" s="60" t="s">
        <v>419</v>
      </c>
      <c r="B33" s="121" t="str">
        <f>HYPERLINK("http://codeforces.com/contest/810/problem/B","CF810-D2-B")</f>
        <v>CF810-D2-B</v>
      </c>
      <c r="C33" s="10"/>
      <c r="D33" s="10"/>
      <c r="E33" s="10"/>
      <c r="F33" s="10"/>
      <c r="G33" s="10"/>
      <c r="H33" s="67"/>
      <c r="I33" s="36">
        <f t="shared" si="0"/>
        <v>0</v>
      </c>
      <c r="J33" s="36"/>
      <c r="K33" s="36"/>
      <c r="L33" s="10"/>
      <c r="M33" s="59" t="str">
        <f>HYPERLINK("https://www.youtube.com/watch?v=cFqla_dXSBs","Video Solution - Solver to be (Java)")</f>
        <v>Video Solution - Solver to be (Java)</v>
      </c>
    </row>
    <row r="34" spans="1:13" ht="12.5">
      <c r="A34" s="60" t="s">
        <v>420</v>
      </c>
      <c r="B34" s="120" t="str">
        <f>HYPERLINK("http://codeforces.com/contest/79/problem/B","CF79-D12-B")</f>
        <v>CF79-D12-B</v>
      </c>
      <c r="C34" s="10"/>
      <c r="D34" s="10"/>
      <c r="E34" s="10"/>
      <c r="F34" s="10"/>
      <c r="G34" s="10"/>
      <c r="H34" s="67"/>
      <c r="I34" s="36">
        <f t="shared" si="0"/>
        <v>0</v>
      </c>
      <c r="J34" s="36"/>
      <c r="K34" s="36"/>
      <c r="L34" s="10"/>
      <c r="M34" s="59" t="str">
        <f>HYPERLINK("https://www.youtube.com/watch?v=QIANdSy3nQg","Video Solution - Solver to be (Java)")</f>
        <v>Video Solution - Solver to be (Java)</v>
      </c>
    </row>
    <row r="35" spans="1:13" ht="12.5">
      <c r="A35" s="60" t="s">
        <v>229</v>
      </c>
      <c r="B35" s="120" t="str">
        <f>HYPERLINK("http://codeforces.com/contest/88/problem/B","CF88-D2-B")</f>
        <v>CF88-D2-B</v>
      </c>
      <c r="C35" s="10"/>
      <c r="D35" s="10"/>
      <c r="E35" s="10"/>
      <c r="F35" s="10"/>
      <c r="G35" s="10"/>
      <c r="H35" s="67"/>
      <c r="I35" s="36">
        <f t="shared" si="0"/>
        <v>0</v>
      </c>
      <c r="J35" s="36"/>
      <c r="K35" s="36"/>
      <c r="L35" s="10"/>
      <c r="M35" s="59" t="str">
        <f>HYPERLINK("https://www.youtube.com/watch?v=IlM9o1-xgE4&amp;feature=youtu.be","Video Solution - Eng Muntaser Abukadeja")</f>
        <v>Video Solution - Eng Muntaser Abukadeja</v>
      </c>
    </row>
    <row r="36" spans="1:13" ht="12.5">
      <c r="A36" s="60" t="s">
        <v>421</v>
      </c>
      <c r="B36" s="121" t="str">
        <f>HYPERLINK("http://codeforces.com/contest/766/problem/B","CF766-D2-B")</f>
        <v>CF766-D2-B</v>
      </c>
      <c r="C36" s="10"/>
      <c r="D36" s="10"/>
      <c r="E36" s="10"/>
      <c r="F36" s="10"/>
      <c r="G36" s="10"/>
      <c r="H36" s="67"/>
      <c r="I36" s="36">
        <f t="shared" si="0"/>
        <v>0</v>
      </c>
      <c r="J36" s="36"/>
      <c r="K36" s="36"/>
      <c r="L36" s="10"/>
      <c r="M36" s="59" t="str">
        <f>HYPERLINK("https://www.youtube.com/watch?v=dCChUGZjaS4","Video Solution - Solver to be (Java)")</f>
        <v>Video Solution - Solver to be (Java)</v>
      </c>
    </row>
    <row r="37" spans="1:13" ht="13">
      <c r="A37" s="56"/>
      <c r="B37" s="112"/>
      <c r="C37" s="67"/>
      <c r="D37" s="67"/>
      <c r="E37" s="67"/>
      <c r="F37" s="67"/>
      <c r="G37" s="67"/>
      <c r="H37" s="67"/>
      <c r="I37" s="36">
        <f t="shared" si="0"/>
        <v>0</v>
      </c>
      <c r="J37" s="36"/>
      <c r="K37" s="36"/>
      <c r="L37" s="67"/>
      <c r="M37" s="113"/>
    </row>
    <row r="38" spans="1:13" ht="13">
      <c r="A38" s="56"/>
      <c r="B38" s="112"/>
      <c r="C38" s="67"/>
      <c r="D38" s="67"/>
      <c r="E38" s="67"/>
      <c r="F38" s="67"/>
      <c r="G38" s="67"/>
      <c r="H38" s="67"/>
      <c r="I38" s="36">
        <f t="shared" si="0"/>
        <v>0</v>
      </c>
      <c r="J38" s="36"/>
      <c r="K38" s="36"/>
      <c r="L38" s="67"/>
      <c r="M38" s="113" t="str">
        <f>HYPERLINK("https://www.youtube.com/watch?v=COB1GHq0YwY","Watch - Graph Theory - BFS")</f>
        <v>Watch - Graph Theory - BFS</v>
      </c>
    </row>
    <row r="39" spans="1:13" ht="12.5">
      <c r="A39" s="74" t="s">
        <v>422</v>
      </c>
      <c r="B39" s="115" t="str">
        <f>HYPERLINK("http://www.spoj.com/problems/TOE1/","SPOJ TOE1")</f>
        <v>SPOJ TOE1</v>
      </c>
      <c r="C39" s="67"/>
      <c r="D39" s="67"/>
      <c r="E39" s="67"/>
      <c r="F39" s="67"/>
      <c r="G39" s="67"/>
      <c r="H39" s="67"/>
      <c r="I39" s="36">
        <f t="shared" si="0"/>
        <v>0</v>
      </c>
      <c r="J39" s="36"/>
      <c r="K39" s="36"/>
      <c r="L39" s="67"/>
      <c r="M39" s="59" t="str">
        <f>HYPERLINK("https://www.youtube.com/watch?v=VM2c3csK3Ps","Video Solution - Eng Ayman Salah")</f>
        <v>Video Solution - Eng Ayman Salah</v>
      </c>
    </row>
    <row r="40" spans="1:13" ht="12.5">
      <c r="A40" s="74" t="s">
        <v>423</v>
      </c>
      <c r="B40" s="115" t="str">
        <f>HYPERLINK("http://www.spoj.com/problems/TOE2/","SPOJ TOE2")</f>
        <v>SPOJ TOE2</v>
      </c>
      <c r="C40" s="67"/>
      <c r="D40" s="67"/>
      <c r="E40" s="67"/>
      <c r="F40" s="67"/>
      <c r="G40" s="67"/>
      <c r="H40" s="67"/>
      <c r="I40" s="36">
        <f t="shared" si="0"/>
        <v>0</v>
      </c>
      <c r="J40" s="36"/>
      <c r="K40" s="36"/>
      <c r="L40" s="67"/>
      <c r="M40" s="59" t="str">
        <f>HYPERLINK("https://www.youtube.com/watch?v=LleR_xaCfMY&amp;feature=youtu.be","Video Solution - Eng Essam AlNaggar")</f>
        <v>Video Solution - Eng Essam AlNaggar</v>
      </c>
    </row>
    <row r="41" spans="1:13" ht="12.5">
      <c r="A41" s="74" t="s">
        <v>424</v>
      </c>
      <c r="B41" s="115" t="str">
        <f>HYPERLINK("https://uva.onlinejudge.org/index.php?option=com_onlinejudge&amp;Itemid=8&amp;page=show_problem&amp;problem=380","UVA 439")</f>
        <v>UVA 439</v>
      </c>
      <c r="C41" s="67"/>
      <c r="D41" s="67"/>
      <c r="E41" s="67"/>
      <c r="F41" s="67"/>
      <c r="G41" s="67"/>
      <c r="H41" s="67"/>
      <c r="I41" s="36">
        <f t="shared" si="0"/>
        <v>0</v>
      </c>
      <c r="J41" s="36"/>
      <c r="K41" s="36"/>
      <c r="L41" s="67"/>
      <c r="M41" s="59" t="str">
        <f>HYPERLINK("https://www.youtube.com/watch?v=_S7BCbISrdo&amp;feature=youtu.be","Video Solution - Eng Magdy Hasan")</f>
        <v>Video Solution - Eng Magdy Hasan</v>
      </c>
    </row>
    <row r="42" spans="1:13" ht="12.5">
      <c r="A42" s="74" t="s">
        <v>425</v>
      </c>
      <c r="B42" s="115" t="str">
        <f>HYPERLINK("http://codeforces.com/contest/242/problem/C","CF242-D2-C")</f>
        <v>CF242-D2-C</v>
      </c>
      <c r="C42" s="67"/>
      <c r="D42" s="67"/>
      <c r="E42" s="67"/>
      <c r="F42" s="67"/>
      <c r="G42" s="67"/>
      <c r="H42" s="67"/>
      <c r="I42" s="36">
        <f t="shared" si="0"/>
        <v>0</v>
      </c>
      <c r="J42" s="36"/>
      <c r="K42" s="36"/>
      <c r="L42" s="67"/>
      <c r="M42" s="59" t="str">
        <f>HYPERLINK("https://www.youtube.com/watch?v=KmxeOFQ_4Rw","Video Solution - Dr Mostafa Saad")</f>
        <v>Video Solution - Dr Mostafa Saad</v>
      </c>
    </row>
    <row r="43" spans="1:13" ht="12.5">
      <c r="A43" s="79" t="s">
        <v>426</v>
      </c>
      <c r="B43" s="122" t="s">
        <v>427</v>
      </c>
      <c r="C43" s="67"/>
      <c r="D43" s="67"/>
      <c r="E43" s="67"/>
      <c r="F43" s="67"/>
      <c r="G43" s="67"/>
      <c r="H43" s="67"/>
      <c r="I43" s="36">
        <f t="shared" si="0"/>
        <v>0</v>
      </c>
      <c r="J43" s="36"/>
      <c r="K43" s="36"/>
      <c r="L43" s="67"/>
      <c r="M43" s="59" t="str">
        <f>HYPERLINK("http://xoptutorials.com/index.php/2017/01/01/timus1638/","Can you get AC first submission")</f>
        <v>Can you get AC first submission</v>
      </c>
    </row>
    <row r="44" spans="1:13" ht="12.5">
      <c r="A44" s="79"/>
      <c r="B44" s="123" t="s">
        <v>428</v>
      </c>
      <c r="C44" s="67"/>
      <c r="D44" s="67"/>
      <c r="E44" s="67"/>
      <c r="F44" s="67"/>
      <c r="G44" s="67"/>
      <c r="H44" s="67"/>
      <c r="I44" s="36">
        <f t="shared" si="0"/>
        <v>0</v>
      </c>
      <c r="J44" s="36"/>
      <c r="K44" s="36"/>
      <c r="L44" s="67"/>
      <c r="M44" s="124" t="s">
        <v>429</v>
      </c>
    </row>
    <row r="45" spans="1:13" ht="25">
      <c r="A45" s="56"/>
      <c r="B45" s="123" t="s">
        <v>430</v>
      </c>
      <c r="C45" s="67"/>
      <c r="D45" s="67"/>
      <c r="E45" s="67"/>
      <c r="F45" s="67"/>
      <c r="G45" s="67"/>
      <c r="H45" s="67"/>
      <c r="I45" s="36">
        <f t="shared" si="0"/>
        <v>0</v>
      </c>
      <c r="J45" s="36"/>
      <c r="K45" s="36"/>
      <c r="L45" s="67"/>
      <c r="M45" s="125" t="str">
        <f>HYPERLINK("https://github.com/Ownography/CP/blob/master/SPOJ%20POSTERIN", "Sol")</f>
        <v>Sol</v>
      </c>
    </row>
    <row r="46" spans="1:13" ht="12.5">
      <c r="A46" s="56"/>
      <c r="B46" s="112"/>
      <c r="C46" s="67"/>
      <c r="D46" s="67"/>
      <c r="E46" s="67"/>
      <c r="F46" s="67"/>
      <c r="G46" s="67"/>
      <c r="H46" s="67"/>
      <c r="I46" s="36">
        <f t="shared" si="0"/>
        <v>0</v>
      </c>
      <c r="J46" s="36"/>
      <c r="K46" s="36"/>
      <c r="L46" s="67"/>
      <c r="M46" s="56"/>
    </row>
    <row r="47" spans="1:13" ht="12.5">
      <c r="A47" s="46" t="s">
        <v>431</v>
      </c>
      <c r="B47" s="31" t="str">
        <f>HYPERLINK("http://codeforces.com/contest/129/problem/B","CF129-D2-B")</f>
        <v>CF129-D2-B</v>
      </c>
      <c r="C47" s="67"/>
      <c r="D47" s="67"/>
      <c r="E47" s="67"/>
      <c r="F47" s="67"/>
      <c r="G47" s="67"/>
      <c r="H47" s="67"/>
      <c r="I47" s="36">
        <f t="shared" si="0"/>
        <v>0</v>
      </c>
      <c r="J47" s="36"/>
      <c r="K47" s="36"/>
      <c r="L47" s="67"/>
      <c r="M47" s="59" t="str">
        <f>HYPERLINK("https://www.youtube.com/watch?v=si51JINxbpk&amp;feature=youtu.be","Video Solution - Eng Abanob Ashraf")</f>
        <v>Video Solution - Eng Abanob Ashraf</v>
      </c>
    </row>
    <row r="48" spans="1:13" ht="12.5">
      <c r="A48" s="46" t="s">
        <v>432</v>
      </c>
      <c r="B48" s="31" t="str">
        <f>HYPERLINK("http://codeforces.com/contest/476/problem/B","CF476-D2-B")</f>
        <v>CF476-D2-B</v>
      </c>
      <c r="C48" s="67"/>
      <c r="D48" s="67"/>
      <c r="E48" s="67"/>
      <c r="F48" s="67"/>
      <c r="G48" s="67"/>
      <c r="H48" s="67"/>
      <c r="I48" s="36">
        <f t="shared" si="0"/>
        <v>0</v>
      </c>
      <c r="J48" s="36"/>
      <c r="K48" s="36"/>
      <c r="L48" s="67"/>
      <c r="M48" s="59" t="str">
        <f>HYPERLINK("https://www.youtube.com/watch?v=uzA2fH9Ol7I&amp;feature=youtu.be","Video Solution - Eng Mohamed Adel")</f>
        <v>Video Solution - Eng Mohamed Adel</v>
      </c>
    </row>
    <row r="49" spans="1:13" ht="12.5">
      <c r="A49" s="46" t="s">
        <v>433</v>
      </c>
      <c r="B49" s="31" t="str">
        <f>HYPERLINK("http://codeforces.com/contest/469/problem/B","CF469-D2-B")</f>
        <v>CF469-D2-B</v>
      </c>
      <c r="C49" s="67"/>
      <c r="D49" s="67"/>
      <c r="E49" s="67"/>
      <c r="F49" s="67"/>
      <c r="G49" s="67"/>
      <c r="H49" s="67"/>
      <c r="I49" s="36">
        <f t="shared" si="0"/>
        <v>0</v>
      </c>
      <c r="J49" s="36"/>
      <c r="K49" s="36"/>
      <c r="L49" s="67"/>
      <c r="M49" s="59" t="str">
        <f>HYPERLINK("https://www.youtube.com/watch?v=7ns-xfWB-8g","Video Solution - Eng Mohamed Adel")</f>
        <v>Video Solution - Eng Mohamed Adel</v>
      </c>
    </row>
    <row r="50" spans="1:13" ht="12.5">
      <c r="A50" s="46" t="s">
        <v>434</v>
      </c>
      <c r="B50" s="31" t="str">
        <f>HYPERLINK("http://codeforces.com/contest/215/problem/B","CF215-D2-B")</f>
        <v>CF215-D2-B</v>
      </c>
      <c r="C50" s="67"/>
      <c r="D50" s="67"/>
      <c r="E50" s="67"/>
      <c r="F50" s="67"/>
      <c r="G50" s="67"/>
      <c r="H50" s="67"/>
      <c r="I50" s="36">
        <f t="shared" si="0"/>
        <v>0</v>
      </c>
      <c r="J50" s="36"/>
      <c r="K50" s="36"/>
      <c r="L50" s="67"/>
      <c r="M50" s="126" t="str">
        <f>HYPERLINK("https://www.youtube.com/watch?v=9PMRkDH1SAY&amp;t=4s","Video Solution - Eng Ahmed Salah")</f>
        <v>Video Solution - Eng Ahmed Salah</v>
      </c>
    </row>
    <row r="51" spans="1:13" ht="12.5">
      <c r="A51" s="46" t="s">
        <v>435</v>
      </c>
      <c r="B51" s="31" t="str">
        <f>HYPERLINK("http://codeforces.com/contest/714/problem/B","CF714-D2-B")</f>
        <v>CF714-D2-B</v>
      </c>
      <c r="C51" s="67"/>
      <c r="D51" s="67"/>
      <c r="E51" s="67"/>
      <c r="F51" s="67"/>
      <c r="G51" s="67"/>
      <c r="H51" s="67"/>
      <c r="I51" s="36">
        <f t="shared" si="0"/>
        <v>0</v>
      </c>
      <c r="J51" s="36"/>
      <c r="K51" s="36"/>
      <c r="L51" s="67"/>
      <c r="M51" s="59" t="str">
        <f>HYPERLINK("https://www.youtube.com/watch?v=aDDoryh3x_g","Video Solution - Eng Muntaser Abukadeja")</f>
        <v>Video Solution - Eng Muntaser Abukadeja</v>
      </c>
    </row>
    <row r="52" spans="1:13" ht="12.5">
      <c r="A52" s="46" t="s">
        <v>436</v>
      </c>
      <c r="B52" s="31" t="str">
        <f>HYPERLINK("http://codeforces.com/contest/400/problem/B","CF400-D2-B")</f>
        <v>CF400-D2-B</v>
      </c>
      <c r="C52" s="67"/>
      <c r="D52" s="67"/>
      <c r="E52" s="67"/>
      <c r="F52" s="67"/>
      <c r="G52" s="67"/>
      <c r="H52" s="67"/>
      <c r="I52" s="36">
        <f t="shared" si="0"/>
        <v>0</v>
      </c>
      <c r="J52" s="36"/>
      <c r="K52" s="36"/>
      <c r="L52" s="67"/>
      <c r="M52" s="59" t="str">
        <f>HYPERLINK("https://www.youtube.com/watch?v=ZWL57YYKwUM&amp;t=1s","Video Solution - Eng Mohamed Salah")</f>
        <v>Video Solution - Eng Mohamed Salah</v>
      </c>
    </row>
    <row r="53" spans="1:13" ht="12.5">
      <c r="A53" s="46" t="s">
        <v>437</v>
      </c>
      <c r="B53" s="31" t="str">
        <f>HYPERLINK("http://codeforces.com/contest/152/problem/B","CF152-D2-B")</f>
        <v>CF152-D2-B</v>
      </c>
      <c r="C53" s="67"/>
      <c r="D53" s="67"/>
      <c r="E53" s="67"/>
      <c r="F53" s="67"/>
      <c r="G53" s="67"/>
      <c r="H53" s="67"/>
      <c r="I53" s="36">
        <f t="shared" si="0"/>
        <v>0</v>
      </c>
      <c r="J53" s="36"/>
      <c r="K53" s="36"/>
      <c r="L53" s="67"/>
      <c r="M53" s="59" t="str">
        <f>HYPERLINK("https://www.youtube.com/watch?v=PNB_OSbdCpQ&amp;feature=youtu.be","Video Solution - Eng Muntaser Abukadeja")</f>
        <v>Video Solution - Eng Muntaser Abukadeja</v>
      </c>
    </row>
    <row r="54" spans="1:13" ht="12.5">
      <c r="A54" s="46" t="s">
        <v>438</v>
      </c>
      <c r="B54" s="31" t="str">
        <f>HYPERLINK("http://codeforces.com/contest/186/problem/B","CF186-D2-B")</f>
        <v>CF186-D2-B</v>
      </c>
      <c r="C54" s="67"/>
      <c r="D54" s="67"/>
      <c r="E54" s="67"/>
      <c r="F54" s="67"/>
      <c r="G54" s="67"/>
      <c r="H54" s="67"/>
      <c r="I54" s="36">
        <f t="shared" si="0"/>
        <v>0</v>
      </c>
      <c r="J54" s="36"/>
      <c r="K54" s="36"/>
      <c r="L54" s="67"/>
      <c r="M54" s="59" t="str">
        <f>HYPERLINK("https://www.youtube.com/watch?v=WdzdNdsaku4","Video Solution - Eng Mohamed Salah")</f>
        <v>Video Solution - Eng Mohamed Salah</v>
      </c>
    </row>
    <row r="55" spans="1:13" ht="12.5">
      <c r="A55" s="60" t="s">
        <v>439</v>
      </c>
      <c r="B55" s="120" t="str">
        <f>HYPERLINK("http://codeforces.com/contest/148/problem/B","CF148-D2-B")</f>
        <v>CF148-D2-B</v>
      </c>
      <c r="C55" s="67"/>
      <c r="D55" s="67"/>
      <c r="E55" s="67"/>
      <c r="F55" s="67"/>
      <c r="G55" s="67"/>
      <c r="H55" s="67"/>
      <c r="I55" s="36">
        <f t="shared" si="0"/>
        <v>0</v>
      </c>
      <c r="J55" s="36"/>
      <c r="K55" s="36"/>
      <c r="L55" s="67"/>
      <c r="M55" s="126" t="str">
        <f>HYPERLINK("https://www.youtube.com/watch?v=IVVN9u6PGJM&amp;feature=youtu.be#_=_","Video Solution - Eng Ahmed Salah")</f>
        <v>Video Solution - Eng Ahmed Salah</v>
      </c>
    </row>
    <row r="56" spans="1:13" ht="13">
      <c r="A56" s="56"/>
      <c r="B56" s="112"/>
      <c r="C56" s="67"/>
      <c r="D56" s="67"/>
      <c r="E56" s="67"/>
      <c r="F56" s="67"/>
      <c r="G56" s="67"/>
      <c r="H56" s="67"/>
      <c r="I56" s="36"/>
      <c r="J56" s="36"/>
      <c r="K56" s="36"/>
      <c r="L56" s="67"/>
      <c r="M56" s="127" t="s">
        <v>440</v>
      </c>
    </row>
    <row r="57" spans="1:13" ht="13">
      <c r="A57" s="56"/>
      <c r="B57" s="112"/>
      <c r="C57" s="67"/>
      <c r="D57" s="67"/>
      <c r="E57" s="67"/>
      <c r="F57" s="67"/>
      <c r="G57" s="67"/>
      <c r="H57" s="67"/>
      <c r="I57" s="36">
        <f>SUM(E57:H57)</f>
        <v>0</v>
      </c>
      <c r="J57" s="36"/>
      <c r="K57" s="36"/>
      <c r="L57" s="67"/>
      <c r="M57" s="127" t="s">
        <v>441</v>
      </c>
    </row>
    <row r="58" spans="1:13" ht="13">
      <c r="A58" s="56"/>
      <c r="B58" s="112"/>
      <c r="C58" s="67"/>
      <c r="D58" s="67"/>
      <c r="E58" s="67"/>
      <c r="F58" s="67"/>
      <c r="G58" s="67"/>
      <c r="H58" s="67"/>
      <c r="I58" s="36"/>
      <c r="J58" s="36"/>
      <c r="K58" s="36"/>
      <c r="L58" s="67"/>
      <c r="M58" s="127"/>
    </row>
    <row r="59" spans="1:13" ht="13">
      <c r="A59" s="56"/>
      <c r="B59" s="112"/>
      <c r="C59" s="67"/>
      <c r="D59" s="67"/>
      <c r="E59" s="67"/>
      <c r="F59" s="67"/>
      <c r="G59" s="67"/>
      <c r="H59" s="67"/>
      <c r="I59" s="36">
        <f t="shared" ref="I59:I133" si="1">SUM(E59:H59)</f>
        <v>0</v>
      </c>
      <c r="J59" s="36"/>
      <c r="K59" s="36"/>
      <c r="L59" s="67"/>
      <c r="M59" s="113" t="str">
        <f>HYPERLINK("https://www.youtube.com/watch?v=gFdP6X4CyKU","Watch - Intro to DP - 1")</f>
        <v>Watch - Intro to DP - 1</v>
      </c>
    </row>
    <row r="60" spans="1:13" ht="13">
      <c r="A60" s="56"/>
      <c r="B60" s="112"/>
      <c r="C60" s="67"/>
      <c r="D60" s="67"/>
      <c r="E60" s="67"/>
      <c r="F60" s="67"/>
      <c r="G60" s="67"/>
      <c r="H60" s="67"/>
      <c r="I60" s="36">
        <f t="shared" si="1"/>
        <v>0</v>
      </c>
      <c r="J60" s="36"/>
      <c r="K60" s="36"/>
      <c r="L60" s="67"/>
      <c r="M60" s="113" t="str">
        <f>HYPERLINK("https://www.youtube.com/watch?v=1j3srLj-C5Q","Watch - Intro to DP - 2")</f>
        <v>Watch - Intro to DP - 2</v>
      </c>
    </row>
    <row r="61" spans="1:13" ht="12.5">
      <c r="A61" s="74" t="s">
        <v>442</v>
      </c>
      <c r="B61" s="128" t="str">
        <f>HYPERLINK("http://codeforces.com/contest/699/problem/C","CF699-D2-C")</f>
        <v>CF699-D2-C</v>
      </c>
      <c r="C61" s="10"/>
      <c r="D61" s="10"/>
      <c r="E61" s="10"/>
      <c r="F61" s="10"/>
      <c r="G61" s="10"/>
      <c r="H61" s="67"/>
      <c r="I61" s="36">
        <f t="shared" si="1"/>
        <v>0</v>
      </c>
      <c r="J61" s="36"/>
      <c r="K61" s="36"/>
      <c r="L61" s="10"/>
      <c r="M61" s="10"/>
    </row>
    <row r="62" spans="1:13" ht="12.5">
      <c r="A62" s="74" t="s">
        <v>443</v>
      </c>
      <c r="B62" s="128" t="str">
        <f>HYPERLINK("http://codeforces.com/contest/545/problem/C","CF545-D2-C")</f>
        <v>CF545-D2-C</v>
      </c>
      <c r="C62" s="10"/>
      <c r="D62" s="10"/>
      <c r="E62" s="10"/>
      <c r="F62" s="10"/>
      <c r="G62" s="10"/>
      <c r="H62" s="67"/>
      <c r="I62" s="36">
        <f t="shared" si="1"/>
        <v>0</v>
      </c>
      <c r="J62" s="36"/>
      <c r="K62" s="36"/>
      <c r="L62" s="10"/>
      <c r="M62" s="10"/>
    </row>
    <row r="63" spans="1:13" ht="12.5">
      <c r="A63" s="74" t="s">
        <v>444</v>
      </c>
      <c r="B63" s="115" t="str">
        <f>HYPERLINK("http://codeforces.com/contest/225/problem/C","CF225-D2-C")</f>
        <v>CF225-D2-C</v>
      </c>
      <c r="C63" s="67"/>
      <c r="D63" s="67"/>
      <c r="E63" s="67"/>
      <c r="F63" s="67"/>
      <c r="G63" s="67"/>
      <c r="H63" s="67"/>
      <c r="I63" s="36">
        <f t="shared" si="1"/>
        <v>0</v>
      </c>
      <c r="J63" s="36"/>
      <c r="K63" s="36"/>
      <c r="L63" s="67"/>
      <c r="M63" s="59" t="str">
        <f>HYPERLINK("https://www.youtube.com/watch?v=O7Tja1S5IYQ","Video Solution - Dr Mostafa Saad")</f>
        <v>Video Solution - Dr Mostafa Saad</v>
      </c>
    </row>
    <row r="64" spans="1:13" ht="12.5">
      <c r="A64" s="79" t="s">
        <v>445</v>
      </c>
      <c r="B64" s="129" t="str">
        <f>HYPERLINK("https://uva.onlinejudge.org/index.php?option=onlinejudge&amp;page=show_problem&amp;problem=2035","UVA 11094")</f>
        <v>UVA 11094</v>
      </c>
      <c r="C64" s="67"/>
      <c r="D64" s="67"/>
      <c r="E64" s="67"/>
      <c r="F64" s="67"/>
      <c r="G64" s="67"/>
      <c r="H64" s="67"/>
      <c r="I64" s="36">
        <f t="shared" si="1"/>
        <v>0</v>
      </c>
      <c r="J64" s="36"/>
      <c r="K64" s="36"/>
      <c r="L64" s="67"/>
      <c r="M64" s="59" t="str">
        <f>HYPERLINK("https://www.youtube.com/watch?v=vLuFqaQ40RI","Video Solution - Eng Ayman Salah")</f>
        <v>Video Solution - Eng Ayman Salah</v>
      </c>
    </row>
    <row r="65" spans="1:13" ht="12.5">
      <c r="A65" s="79" t="s">
        <v>446</v>
      </c>
      <c r="B65" s="117" t="str">
        <f>HYPERLINK("https://uva.onlinejudge.org/index.php?option=onlinejudge&amp;page=show_problem&amp;problem=1806","UVA 10865")</f>
        <v>UVA 10865</v>
      </c>
      <c r="C65" s="10"/>
      <c r="D65" s="10"/>
      <c r="E65" s="10"/>
      <c r="F65" s="10"/>
      <c r="G65" s="10"/>
      <c r="H65" s="67"/>
      <c r="I65" s="36">
        <f t="shared" si="1"/>
        <v>0</v>
      </c>
      <c r="J65" s="36"/>
      <c r="K65" s="36"/>
      <c r="L65" s="10"/>
      <c r="M65" s="95" t="str">
        <f>HYPERLINK("https://www.youtube.com/watch?v=VZ7kCc80C6o&amp;feature=youtu.be","Video Solution - Eng Magdy Hasan")</f>
        <v>Video Solution - Eng Magdy Hasan</v>
      </c>
    </row>
    <row r="66" spans="1:13" ht="12.5">
      <c r="A66" s="79" t="s">
        <v>447</v>
      </c>
      <c r="B66" s="118" t="str">
        <f>HYPERLINK("http://acm.timus.ru/problem.aspx?space=1&amp;num=1054","TIMUS 1054")</f>
        <v>TIMUS 1054</v>
      </c>
      <c r="C66" s="10"/>
      <c r="D66" s="10"/>
      <c r="E66" s="10"/>
      <c r="F66" s="10"/>
      <c r="G66" s="10"/>
      <c r="H66" s="67"/>
      <c r="I66" s="36">
        <f t="shared" si="1"/>
        <v>0</v>
      </c>
      <c r="J66" s="36"/>
      <c r="K66" s="36"/>
      <c r="L66" s="10"/>
      <c r="M66" s="95" t="str">
        <f>HYPERLINK("https://github.com/MeGaCrazy/CompetitiveProgramming/blob/9ebf16b4239c8f58c694f2ae22c8f07d1fa70864/Timus/TIMUS_1054.cpp","Sol")</f>
        <v>Sol</v>
      </c>
    </row>
    <row r="67" spans="1:13" ht="12.5">
      <c r="A67" s="56"/>
      <c r="B67" s="112"/>
      <c r="C67" s="67"/>
      <c r="D67" s="67"/>
      <c r="E67" s="67"/>
      <c r="F67" s="67"/>
      <c r="G67" s="67"/>
      <c r="H67" s="67"/>
      <c r="I67" s="36">
        <f t="shared" si="1"/>
        <v>0</v>
      </c>
      <c r="J67" s="36"/>
      <c r="K67" s="36"/>
      <c r="L67" s="67"/>
      <c r="M67" s="56"/>
    </row>
    <row r="68" spans="1:13" ht="12.5">
      <c r="A68" s="46" t="s">
        <v>448</v>
      </c>
      <c r="B68" s="31" t="str">
        <f>HYPERLINK("http://codeforces.com/contest/262/problem/B","CF262-D2-B")</f>
        <v>CF262-D2-B</v>
      </c>
      <c r="C68" s="67"/>
      <c r="D68" s="67"/>
      <c r="E68" s="67"/>
      <c r="F68" s="67"/>
      <c r="G68" s="67"/>
      <c r="H68" s="67"/>
      <c r="I68" s="36">
        <f t="shared" si="1"/>
        <v>0</v>
      </c>
      <c r="J68" s="36"/>
      <c r="K68" s="36"/>
      <c r="L68" s="67"/>
      <c r="M68" s="59" t="str">
        <f>HYPERLINK("https://www.youtube.com/watch?v=6Ic_MPWfhEg","Video Solution - Eng Mohamed Salah")</f>
        <v>Video Solution - Eng Mohamed Salah</v>
      </c>
    </row>
    <row r="69" spans="1:13" ht="12.5">
      <c r="A69" s="46" t="s">
        <v>449</v>
      </c>
      <c r="B69" s="31" t="str">
        <f>HYPERLINK("http://codeforces.com/contest/385/problem/B","CF385-D2-B")</f>
        <v>CF385-D2-B</v>
      </c>
      <c r="C69" s="67"/>
      <c r="D69" s="67"/>
      <c r="E69" s="67"/>
      <c r="F69" s="67"/>
      <c r="G69" s="67"/>
      <c r="H69" s="67"/>
      <c r="I69" s="36">
        <f t="shared" si="1"/>
        <v>0</v>
      </c>
      <c r="J69" s="36"/>
      <c r="K69" s="36"/>
      <c r="L69" s="67"/>
      <c r="M69" s="59" t="str">
        <f>HYPERLINK("https://www.youtube.com/watch?v=hTUYMzcMuvA","Video Solution - Eng Mohamed Salah")</f>
        <v>Video Solution - Eng Mohamed Salah</v>
      </c>
    </row>
    <row r="70" spans="1:13" ht="12.5">
      <c r="A70" s="46" t="s">
        <v>450</v>
      </c>
      <c r="B70" s="31" t="str">
        <f>HYPERLINK("http://codeforces.com/contest/376/problem/B","CF376-D2-B")</f>
        <v>CF376-D2-B</v>
      </c>
      <c r="C70" s="67"/>
      <c r="D70" s="67"/>
      <c r="E70" s="67"/>
      <c r="F70" s="67"/>
      <c r="G70" s="67"/>
      <c r="H70" s="67"/>
      <c r="I70" s="36">
        <f t="shared" si="1"/>
        <v>0</v>
      </c>
      <c r="J70" s="36"/>
      <c r="K70" s="36"/>
      <c r="L70" s="67"/>
      <c r="M70" s="59" t="str">
        <f>HYPERLINK("https://www.youtube.com/watch?v=d962qNWSvas&amp;feature=youtu.be","Video Solution - Eng Abanob Ashraf")</f>
        <v>Video Solution - Eng Abanob Ashraf</v>
      </c>
    </row>
    <row r="71" spans="1:13" ht="12.5">
      <c r="A71" s="46" t="s">
        <v>451</v>
      </c>
      <c r="B71" s="31" t="str">
        <f>HYPERLINK("http://codeforces.com/contest/352/problem/B","CF352-D2-B")</f>
        <v>CF352-D2-B</v>
      </c>
      <c r="C71" s="67"/>
      <c r="D71" s="67"/>
      <c r="E71" s="67"/>
      <c r="F71" s="67"/>
      <c r="G71" s="67"/>
      <c r="H71" s="67"/>
      <c r="I71" s="36">
        <f t="shared" si="1"/>
        <v>0</v>
      </c>
      <c r="J71" s="36"/>
      <c r="K71" s="36"/>
      <c r="L71" s="67"/>
      <c r="M71" s="59" t="str">
        <f>HYPERLINK("https://www.youtube.com/watch?v=7xgzxrYuwUc","Video Solution - Eng Muntaser Abukadeja")</f>
        <v>Video Solution - Eng Muntaser Abukadeja</v>
      </c>
    </row>
    <row r="72" spans="1:13" ht="12.5">
      <c r="A72" s="46" t="s">
        <v>452</v>
      </c>
      <c r="B72" s="130" t="str">
        <f>HYPERLINK("http://codeforces.com/contest/144/problem/B","CF144-D2-B")</f>
        <v>CF144-D2-B</v>
      </c>
      <c r="C72" s="67"/>
      <c r="D72" s="67"/>
      <c r="E72" s="67"/>
      <c r="F72" s="67"/>
      <c r="G72" s="67"/>
      <c r="H72" s="67"/>
      <c r="I72" s="36">
        <f t="shared" si="1"/>
        <v>0</v>
      </c>
      <c r="J72" s="36"/>
      <c r="K72" s="36"/>
      <c r="L72" s="67"/>
      <c r="M72" s="59" t="str">
        <f>HYPERLINK("https://www.youtube.com/watch?v=9fpKWAPudyo&amp;feature=youtu.be","Video Solution - Eng Muntaser Abukadeja")</f>
        <v>Video Solution - Eng Muntaser Abukadeja</v>
      </c>
    </row>
    <row r="73" spans="1:13" ht="12.5">
      <c r="A73" s="46" t="s">
        <v>453</v>
      </c>
      <c r="B73" s="31" t="str">
        <f>HYPERLINK("http://codeforces.com/contest/617/problem/B","CF617-D2-B")</f>
        <v>CF617-D2-B</v>
      </c>
      <c r="C73" s="67"/>
      <c r="D73" s="67"/>
      <c r="E73" s="67"/>
      <c r="F73" s="67"/>
      <c r="G73" s="67"/>
      <c r="H73" s="67"/>
      <c r="I73" s="36">
        <f t="shared" si="1"/>
        <v>0</v>
      </c>
      <c r="J73" s="36"/>
      <c r="K73" s="36"/>
      <c r="L73" s="67"/>
      <c r="M73" s="59" t="str">
        <f>HYPERLINK("https://www.youtube.com/watch?v=APkfGgJJVCc","Video Solution - Eng Yahia Ashraf")</f>
        <v>Video Solution - Eng Yahia Ashraf</v>
      </c>
    </row>
    <row r="74" spans="1:13" ht="12.5">
      <c r="A74" s="46" t="s">
        <v>454</v>
      </c>
      <c r="B74" s="31" t="str">
        <f>HYPERLINK("http://codeforces.com/contest/236/problem/B","CF236-D2-B")</f>
        <v>CF236-D2-B</v>
      </c>
      <c r="C74" s="67"/>
      <c r="D74" s="67"/>
      <c r="E74" s="67"/>
      <c r="F74" s="67"/>
      <c r="G74" s="67"/>
      <c r="H74" s="67"/>
      <c r="I74" s="36">
        <f t="shared" si="1"/>
        <v>0</v>
      </c>
      <c r="J74" s="36"/>
      <c r="K74" s="36"/>
      <c r="L74" s="67"/>
      <c r="M74" s="59" t="str">
        <f>HYPERLINK("https://www.youtube.com/watch?v=Tv2JpMqQWYg","Video Solution - Eng Yahia Ashraf")</f>
        <v>Video Solution - Eng Yahia Ashraf</v>
      </c>
    </row>
    <row r="75" spans="1:13" ht="12.5">
      <c r="A75" s="56" t="s">
        <v>455</v>
      </c>
      <c r="B75" s="131" t="str">
        <f>HYPERLINK("http://codeforces.com/contest/514/problem/B","CF514-D2-B")</f>
        <v>CF514-D2-B</v>
      </c>
      <c r="C75" s="10"/>
      <c r="D75" s="10"/>
      <c r="E75" s="10"/>
      <c r="F75" s="10"/>
      <c r="G75" s="10"/>
      <c r="H75" s="67"/>
      <c r="I75" s="36">
        <f t="shared" si="1"/>
        <v>0</v>
      </c>
      <c r="J75" s="36"/>
      <c r="K75" s="36"/>
      <c r="L75" s="10"/>
      <c r="M75" s="124" t="s">
        <v>456</v>
      </c>
    </row>
    <row r="76" spans="1:13" ht="12.5">
      <c r="A76" s="56" t="s">
        <v>457</v>
      </c>
      <c r="B76" s="131" t="str">
        <f>HYPERLINK("http://codeforces.com/contest/253/problem/B","CF253-D2-B")</f>
        <v>CF253-D2-B</v>
      </c>
      <c r="C76" s="10"/>
      <c r="D76" s="10"/>
      <c r="E76" s="10"/>
      <c r="F76" s="10"/>
      <c r="G76" s="10"/>
      <c r="H76" s="67"/>
      <c r="I76" s="36">
        <f t="shared" si="1"/>
        <v>0</v>
      </c>
      <c r="J76" s="36"/>
      <c r="K76" s="36"/>
      <c r="L76" s="10"/>
      <c r="M76" s="59" t="str">
        <f>HYPERLINK("https://www.youtube.com/watch?v=ZR0IxC_xoFk","Video Solution - Eng Mohamed Salah")</f>
        <v>Video Solution - Eng Mohamed Salah</v>
      </c>
    </row>
    <row r="77" spans="1:13" ht="12.5">
      <c r="A77" s="56" t="s">
        <v>458</v>
      </c>
      <c r="B77" s="131" t="str">
        <f>HYPERLINK("http://codeforces.com/contest/520/problem/B","CF520-D2-B")</f>
        <v>CF520-D2-B</v>
      </c>
      <c r="C77" s="10"/>
      <c r="D77" s="10"/>
      <c r="E77" s="10"/>
      <c r="F77" s="10"/>
      <c r="G77" s="10"/>
      <c r="H77" s="67"/>
      <c r="I77" s="36">
        <f t="shared" si="1"/>
        <v>0</v>
      </c>
      <c r="J77" s="36"/>
      <c r="K77" s="36"/>
      <c r="L77" s="10"/>
      <c r="M77" s="59" t="str">
        <f>HYPERLINK("https://www.youtube.com/watch?v=tMsOxSRU4Sk","Video Solution - Solver to be (Java)")</f>
        <v>Video Solution - Solver to be (Java)</v>
      </c>
    </row>
    <row r="78" spans="1:13" ht="13">
      <c r="A78" s="56"/>
      <c r="B78" s="112"/>
      <c r="C78" s="10"/>
      <c r="D78" s="10"/>
      <c r="E78" s="10"/>
      <c r="F78" s="10"/>
      <c r="G78" s="10"/>
      <c r="H78" s="67"/>
      <c r="I78" s="36">
        <f t="shared" si="1"/>
        <v>0</v>
      </c>
      <c r="J78" s="36"/>
      <c r="K78" s="36"/>
      <c r="L78" s="67"/>
      <c r="M78" s="113"/>
    </row>
    <row r="79" spans="1:13" ht="13">
      <c r="A79" s="56"/>
      <c r="B79" s="112"/>
      <c r="C79" s="67"/>
      <c r="D79" s="67"/>
      <c r="E79" s="67"/>
      <c r="F79" s="67"/>
      <c r="G79" s="67"/>
      <c r="H79" s="67"/>
      <c r="I79" s="36">
        <f t="shared" si="1"/>
        <v>0</v>
      </c>
      <c r="J79" s="36"/>
      <c r="K79" s="36"/>
      <c r="L79" s="67"/>
      <c r="M79" s="113" t="str">
        <f>HYPERLINK("https://www.youtube.com/watch?v=dcMtSmWHLP4","Watch - Computational Geometry - Complex Number and 2D Point")</f>
        <v>Watch - Computational Geometry - Complex Number and 2D Point</v>
      </c>
    </row>
    <row r="80" spans="1:13" ht="13">
      <c r="A80" s="56"/>
      <c r="B80" s="112"/>
      <c r="C80" s="67"/>
      <c r="D80" s="67"/>
      <c r="E80" s="67"/>
      <c r="F80" s="67"/>
      <c r="G80" s="67"/>
      <c r="H80" s="67"/>
      <c r="I80" s="36">
        <f t="shared" si="1"/>
        <v>0</v>
      </c>
      <c r="J80" s="36"/>
      <c r="K80" s="36"/>
      <c r="L80" s="67"/>
      <c r="M80" s="113" t="str">
        <f>HYPERLINK("https://www.youtube.com/watch?v=1Vi2h7dKdEQ","Watch - Computational Geometry - Lines and Distances")</f>
        <v>Watch - Computational Geometry - Lines and Distances</v>
      </c>
    </row>
    <row r="81" spans="1:13" ht="12.5">
      <c r="A81" s="74" t="s">
        <v>459</v>
      </c>
      <c r="B81" s="115" t="str">
        <f>HYPERLINK("https://uva.onlinejudge.org/index.php?option=com_onlinejudge&amp;Itemid=8&amp;page=show_problem&amp;problem=314","UVA 378")</f>
        <v>UVA 378</v>
      </c>
      <c r="C81" s="67"/>
      <c r="D81" s="67"/>
      <c r="E81" s="67"/>
      <c r="F81" s="67"/>
      <c r="G81" s="67"/>
      <c r="H81" s="67"/>
      <c r="I81" s="36">
        <f t="shared" si="1"/>
        <v>0</v>
      </c>
      <c r="J81" s="36"/>
      <c r="K81" s="36"/>
      <c r="L81" s="67"/>
      <c r="M81" s="56"/>
    </row>
    <row r="82" spans="1:13" ht="12.5">
      <c r="A82" s="79" t="s">
        <v>460</v>
      </c>
      <c r="B82" s="129" t="str">
        <f>HYPERLINK("https://uva.onlinejudge.org/index.php?option=com_onlinejudge&amp;Itemid=8&amp;page=show_problem&amp;problem=1018","UVA 10077")</f>
        <v>UVA 10077</v>
      </c>
      <c r="C82" s="67"/>
      <c r="D82" s="67"/>
      <c r="E82" s="67"/>
      <c r="F82" s="67"/>
      <c r="G82" s="67"/>
      <c r="H82" s="67"/>
      <c r="I82" s="36">
        <f t="shared" si="1"/>
        <v>0</v>
      </c>
      <c r="J82" s="36"/>
      <c r="K82" s="36"/>
      <c r="L82" s="67"/>
      <c r="M82" s="56"/>
    </row>
    <row r="83" spans="1:13" ht="12.5">
      <c r="A83" s="79" t="s">
        <v>461</v>
      </c>
      <c r="B83" s="117" t="str">
        <f>HYPERLINK("http://codeforces.com/contest/505/problem/B","CF505-D2-B")</f>
        <v>CF505-D2-B</v>
      </c>
      <c r="C83" s="67"/>
      <c r="D83" s="67"/>
      <c r="E83" s="67"/>
      <c r="F83" s="67"/>
      <c r="G83" s="67"/>
      <c r="H83" s="67"/>
      <c r="I83" s="36">
        <f t="shared" si="1"/>
        <v>0</v>
      </c>
      <c r="J83" s="10"/>
      <c r="K83" s="10"/>
      <c r="L83" s="10"/>
      <c r="M83" s="132" t="str">
        <f>HYPERLINK("https://www.youtube.com/watch?v=4516VTXcDJM&amp;feature=youtu.be","Video Solution - Eng Muntaser Abukadeja")</f>
        <v>Video Solution - Eng Muntaser Abukadeja</v>
      </c>
    </row>
    <row r="84" spans="1:13" ht="12.5">
      <c r="A84" s="56"/>
      <c r="B84" s="112"/>
      <c r="C84" s="67"/>
      <c r="D84" s="67"/>
      <c r="E84" s="67"/>
      <c r="F84" s="67"/>
      <c r="G84" s="67"/>
      <c r="H84" s="67"/>
      <c r="I84" s="36">
        <f t="shared" si="1"/>
        <v>0</v>
      </c>
      <c r="J84" s="36"/>
      <c r="K84" s="36"/>
      <c r="L84" s="67"/>
      <c r="M84" s="56"/>
    </row>
    <row r="85" spans="1:13" ht="12.5">
      <c r="A85" s="46" t="s">
        <v>462</v>
      </c>
      <c r="B85" s="31" t="str">
        <f>HYPERLINK("http://codeforces.com/contest/445/problem/B","CF445-D2-B")</f>
        <v>CF445-D2-B</v>
      </c>
      <c r="C85" s="67"/>
      <c r="D85" s="67"/>
      <c r="E85" s="67"/>
      <c r="F85" s="67"/>
      <c r="G85" s="67"/>
      <c r="H85" s="67"/>
      <c r="I85" s="36">
        <f t="shared" si="1"/>
        <v>0</v>
      </c>
      <c r="J85" s="36"/>
      <c r="K85" s="36"/>
      <c r="L85" s="67"/>
      <c r="M85" s="124" t="s">
        <v>463</v>
      </c>
    </row>
    <row r="86" spans="1:13" ht="12.5">
      <c r="A86" s="46" t="s">
        <v>464</v>
      </c>
      <c r="B86" s="31" t="str">
        <f>HYPERLINK("http://codeforces.com/contest/584/problem/B","CF584-D2-B")</f>
        <v>CF584-D2-B</v>
      </c>
      <c r="C86" s="67"/>
      <c r="D86" s="67"/>
      <c r="E86" s="67"/>
      <c r="F86" s="67"/>
      <c r="G86" s="67"/>
      <c r="H86" s="67"/>
      <c r="I86" s="36">
        <f t="shared" si="1"/>
        <v>0</v>
      </c>
      <c r="J86" s="36"/>
      <c r="K86" s="36"/>
      <c r="L86" s="67"/>
      <c r="M86" s="59" t="str">
        <f>HYPERLINK("https://www.youtube.com/watch?v=-Dh_FyJiJ9Q","Video Solution - Eng Yahia Ashraf")</f>
        <v>Video Solution - Eng Yahia Ashraf</v>
      </c>
    </row>
    <row r="87" spans="1:13" ht="12.5">
      <c r="A87" s="46" t="s">
        <v>465</v>
      </c>
      <c r="B87" s="31" t="str">
        <f>HYPERLINK("http://codeforces.com/contest/448/problem/B","CF448-D2-B")</f>
        <v>CF448-D2-B</v>
      </c>
      <c r="C87" s="67"/>
      <c r="D87" s="67"/>
      <c r="E87" s="67"/>
      <c r="F87" s="67"/>
      <c r="G87" s="67"/>
      <c r="H87" s="67"/>
      <c r="I87" s="36">
        <f t="shared" si="1"/>
        <v>0</v>
      </c>
      <c r="J87" s="36"/>
      <c r="K87" s="36"/>
      <c r="L87" s="67"/>
      <c r="M87" s="59" t="str">
        <f>HYPERLINK("https://www.youtube.com/watch?v=-J0VaYdgbRc","Video Solution - Eng Mohamed Salah")</f>
        <v>Video Solution - Eng Mohamed Salah</v>
      </c>
    </row>
    <row r="88" spans="1:13" ht="12.5">
      <c r="A88" s="46" t="s">
        <v>466</v>
      </c>
      <c r="B88" s="31" t="str">
        <f>HYPERLINK("http://codeforces.com/contest/716/problem/B","CF716-D2-B")</f>
        <v>CF716-D2-B</v>
      </c>
      <c r="C88" s="67"/>
      <c r="D88" s="67"/>
      <c r="E88" s="67"/>
      <c r="F88" s="67"/>
      <c r="G88" s="67"/>
      <c r="H88" s="67"/>
      <c r="I88" s="36">
        <f t="shared" si="1"/>
        <v>0</v>
      </c>
      <c r="J88" s="36"/>
      <c r="K88" s="36"/>
      <c r="L88" s="67"/>
      <c r="M88" s="59" t="str">
        <f>HYPERLINK("https://www.youtube.com/watch?v=lu6BhwVMNhw","Video Solution - Eng Mohamed Salah")</f>
        <v>Video Solution - Eng Mohamed Salah</v>
      </c>
    </row>
    <row r="89" spans="1:13" ht="12.5">
      <c r="A89" s="46" t="s">
        <v>467</v>
      </c>
      <c r="B89" s="31" t="str">
        <f>HYPERLINK("http://codeforces.com/contest/544/problem/B","CF544-D2-B")</f>
        <v>CF544-D2-B</v>
      </c>
      <c r="C89" s="67"/>
      <c r="D89" s="67"/>
      <c r="E89" s="67"/>
      <c r="F89" s="67"/>
      <c r="G89" s="67"/>
      <c r="H89" s="67"/>
      <c r="I89" s="36">
        <f t="shared" si="1"/>
        <v>0</v>
      </c>
      <c r="J89" s="36"/>
      <c r="K89" s="36"/>
      <c r="L89" s="67"/>
      <c r="M89" s="59" t="str">
        <f>HYPERLINK("https://www.youtube.com/watch?v=7MC9PFQTlxs","Video Solution - Eng Mohamed Salah")</f>
        <v>Video Solution - Eng Mohamed Salah</v>
      </c>
    </row>
    <row r="90" spans="1:13" ht="12.5">
      <c r="A90" s="56" t="s">
        <v>468</v>
      </c>
      <c r="B90" s="131" t="str">
        <f>HYPERLINK("http://codeforces.com/contest/141/problem/B","CF141-D2-B")</f>
        <v>CF141-D2-B</v>
      </c>
      <c r="C90" s="10"/>
      <c r="D90" s="10"/>
      <c r="E90" s="10"/>
      <c r="F90" s="10"/>
      <c r="G90" s="10"/>
      <c r="H90" s="67"/>
      <c r="I90" s="36">
        <f t="shared" si="1"/>
        <v>0</v>
      </c>
      <c r="J90" s="36"/>
      <c r="K90" s="36"/>
      <c r="L90" s="10"/>
      <c r="M90" s="59" t="str">
        <f>HYPERLINK("https://www.youtube.com/watch?v=edI2c3Myaek&amp;feature=youtu.be","Video Solution - Eng Yahia Ashraf")</f>
        <v>Video Solution - Eng Yahia Ashraf</v>
      </c>
    </row>
    <row r="91" spans="1:13" ht="12.5">
      <c r="A91" s="56" t="s">
        <v>469</v>
      </c>
      <c r="B91" s="131" t="str">
        <f>HYPERLINK("http://codeforces.com/contest/369/problem/B","CF369-D2-B")</f>
        <v>CF369-D2-B</v>
      </c>
      <c r="C91" s="10"/>
      <c r="D91" s="10"/>
      <c r="E91" s="10"/>
      <c r="F91" s="10"/>
      <c r="G91" s="10"/>
      <c r="H91" s="67"/>
      <c r="I91" s="36">
        <f t="shared" si="1"/>
        <v>0</v>
      </c>
      <c r="J91" s="36"/>
      <c r="K91" s="36"/>
      <c r="L91" s="10"/>
      <c r="M91" s="59" t="str">
        <f>HYPERLINK("https://www.youtube.com/watch?v=1CHX-WYiQvA","Video Solution - Eng Yahia Ashraf")</f>
        <v>Video Solution - Eng Yahia Ashraf</v>
      </c>
    </row>
    <row r="92" spans="1:13" ht="12.5">
      <c r="A92" s="56" t="s">
        <v>470</v>
      </c>
      <c r="B92" s="133" t="str">
        <f>HYPERLINK("http://codeforces.com/contest/791/problem/B","CF791-D2-B")</f>
        <v>CF791-D2-B</v>
      </c>
      <c r="C92" s="36"/>
      <c r="D92" s="36"/>
      <c r="E92" s="36"/>
      <c r="F92" s="36"/>
      <c r="G92" s="36"/>
      <c r="H92" s="36"/>
      <c r="I92" s="36">
        <f t="shared" si="1"/>
        <v>0</v>
      </c>
      <c r="J92" s="36"/>
      <c r="K92" s="36"/>
      <c r="L92" s="36"/>
      <c r="M92" s="59" t="str">
        <f>HYPERLINK("https://www.youtube.com/watch?v=3tVJoeUE0Ag&amp;feature=youtu.be","Video Solution - Eng Mohamed Salah")</f>
        <v>Video Solution - Eng Mohamed Salah</v>
      </c>
    </row>
    <row r="93" spans="1:13" ht="12.5">
      <c r="A93" s="60" t="s">
        <v>471</v>
      </c>
      <c r="B93" s="120" t="str">
        <f>HYPERLINK("http://codeforces.com/contest/550/problem/B","CF550-D2-B")</f>
        <v>CF550-D2-B</v>
      </c>
      <c r="C93" s="36"/>
      <c r="D93" s="36"/>
      <c r="E93" s="36"/>
      <c r="F93" s="36"/>
      <c r="G93" s="36"/>
      <c r="H93" s="36"/>
      <c r="I93" s="36">
        <f t="shared" si="1"/>
        <v>0</v>
      </c>
      <c r="J93" s="36"/>
      <c r="K93" s="36"/>
      <c r="L93" s="36"/>
      <c r="M93" s="94" t="str">
        <f>HYPERLINK("https://www.youtube.com/watch?v=o5fKByvQguE","Video Solution - SolverToBe (Java)")</f>
        <v>Video Solution - SolverToBe (Java)</v>
      </c>
    </row>
    <row r="94" spans="1:13" ht="13">
      <c r="A94" s="56"/>
      <c r="B94" s="112"/>
      <c r="C94" s="10"/>
      <c r="D94" s="10"/>
      <c r="E94" s="10"/>
      <c r="F94" s="10"/>
      <c r="G94" s="10"/>
      <c r="H94" s="67"/>
      <c r="I94" s="36">
        <f t="shared" si="1"/>
        <v>0</v>
      </c>
      <c r="J94" s="36"/>
      <c r="K94" s="36"/>
      <c r="L94" s="67"/>
      <c r="M94" s="113"/>
    </row>
    <row r="95" spans="1:13" ht="13">
      <c r="A95" s="56"/>
      <c r="B95" s="112"/>
      <c r="C95" s="10"/>
      <c r="D95" s="10"/>
      <c r="E95" s="10"/>
      <c r="F95" s="10"/>
      <c r="G95" s="10"/>
      <c r="H95" s="67"/>
      <c r="I95" s="36">
        <f t="shared" si="1"/>
        <v>0</v>
      </c>
      <c r="J95" s="36"/>
      <c r="K95" s="36"/>
      <c r="L95" s="67"/>
      <c r="M95" s="48" t="str">
        <f>HYPERLINK("https://www.youtube.com/watch?v=WTr12dK2Se0","Watch - Focused and Diffused Thinking")</f>
        <v>Watch - Focused and Diffused Thinking</v>
      </c>
    </row>
    <row r="96" spans="1:13" ht="13">
      <c r="A96" s="56"/>
      <c r="B96" s="112"/>
      <c r="C96" s="10"/>
      <c r="D96" s="10"/>
      <c r="E96" s="10"/>
      <c r="F96" s="10"/>
      <c r="G96" s="10"/>
      <c r="H96" s="67"/>
      <c r="I96" s="36">
        <f t="shared" si="1"/>
        <v>0</v>
      </c>
      <c r="J96" s="36"/>
      <c r="K96" s="36"/>
      <c r="L96" s="67"/>
      <c r="M96" s="114" t="str">
        <f>HYPERLINK("https://www.youtube.com/watch?v=tcQky6O1em8","Watch - Graph Theory - MST - Prime")</f>
        <v>Watch - Graph Theory - MST - Prime</v>
      </c>
    </row>
    <row r="97" spans="1:13" ht="13">
      <c r="A97" s="56"/>
      <c r="B97" s="112"/>
      <c r="C97" s="10"/>
      <c r="D97" s="10"/>
      <c r="E97" s="10"/>
      <c r="F97" s="10"/>
      <c r="G97" s="10"/>
      <c r="H97" s="67"/>
      <c r="I97" s="36">
        <f t="shared" si="1"/>
        <v>0</v>
      </c>
      <c r="J97" s="36"/>
      <c r="K97" s="36"/>
      <c r="L97" s="67"/>
      <c r="M97" s="113" t="str">
        <f>HYPERLINK("https://www.youtube.com/watch?v=HQ5ANfzSDn0","Watch - Graph Theory - MST - Kruskal")</f>
        <v>Watch - Graph Theory - MST - Kruskal</v>
      </c>
    </row>
    <row r="98" spans="1:13" ht="12.5">
      <c r="A98" s="74" t="s">
        <v>472</v>
      </c>
      <c r="B98" s="115" t="str">
        <f>HYPERLINK("https://uva.onlinejudge.org/index.php?option=com_onlinejudge&amp;Itemid=8&amp;page=show_problem&amp;problem=1088","UVA 10147")</f>
        <v>UVA 10147</v>
      </c>
      <c r="C98" s="67"/>
      <c r="D98" s="67"/>
      <c r="E98" s="67"/>
      <c r="F98" s="67"/>
      <c r="G98" s="67"/>
      <c r="H98" s="67"/>
      <c r="I98" s="36">
        <f t="shared" si="1"/>
        <v>0</v>
      </c>
      <c r="J98" s="36"/>
      <c r="K98" s="36"/>
      <c r="L98" s="67"/>
      <c r="M98" s="95" t="str">
        <f>HYPERLINK("https://www.youtube.com/watch?v=yNkLz4OVXtI","Video Solution - Eng Mahmoud Adel")</f>
        <v>Video Solution - Eng Mahmoud Adel</v>
      </c>
    </row>
    <row r="99" spans="1:13" ht="12.5">
      <c r="A99" s="74" t="s">
        <v>473</v>
      </c>
      <c r="B99" s="115" t="str">
        <f>HYPERLINK("https://uva.onlinejudge.org/index.php?option=com_onlinejudge&amp;Itemid=8&amp;page=show_problem&amp;problem=1541","UVA 10600")</f>
        <v>UVA 10600</v>
      </c>
      <c r="C99" s="67"/>
      <c r="D99" s="67"/>
      <c r="E99" s="67"/>
      <c r="F99" s="67"/>
      <c r="G99" s="67"/>
      <c r="H99" s="67"/>
      <c r="I99" s="36">
        <f t="shared" si="1"/>
        <v>0</v>
      </c>
      <c r="J99" s="36"/>
      <c r="K99" s="36"/>
      <c r="L99" s="67"/>
      <c r="M99" s="95" t="str">
        <f>HYPERLINK("https://www.youtube.com/watch?v=94EApxauQQE&amp;feature=youtu.be","Video Solution - Eng Moaz Rashad")</f>
        <v>Video Solution - Eng Moaz Rashad</v>
      </c>
    </row>
    <row r="100" spans="1:13" ht="12.5">
      <c r="A100" s="74" t="s">
        <v>474</v>
      </c>
      <c r="B100" s="115" t="str">
        <f>HYPERLINK("https://uva.onlinejudge.org/index.php?option=onlinejudge&amp;page=show_problem&amp;problem=2498","UVA 11503")</f>
        <v>UVA 11503</v>
      </c>
      <c r="C100" s="67"/>
      <c r="D100" s="67"/>
      <c r="E100" s="67"/>
      <c r="F100" s="67"/>
      <c r="G100" s="67"/>
      <c r="H100" s="67"/>
      <c r="I100" s="36">
        <f t="shared" si="1"/>
        <v>0</v>
      </c>
      <c r="J100" s="36"/>
      <c r="K100" s="36"/>
      <c r="L100" s="67"/>
      <c r="M100" s="95" t="str">
        <f>HYPERLINK("https://www.youtube.com/watch?v=kO_XbOt1drc","Video Solution - Eng Moaz Rashad")</f>
        <v>Video Solution - Eng Moaz Rashad</v>
      </c>
    </row>
    <row r="101" spans="1:13" ht="12.5">
      <c r="A101" s="74" t="s">
        <v>475</v>
      </c>
      <c r="B101" s="115" t="str">
        <f>HYPERLINK("https://uva.onlinejudge.org/index.php?option=com_onlinejudge&amp;Itemid=8&amp;page=show_problem&amp;problem=1310","UVA 10369")</f>
        <v>UVA 10369</v>
      </c>
      <c r="C101" s="67"/>
      <c r="D101" s="67"/>
      <c r="E101" s="67"/>
      <c r="F101" s="67"/>
      <c r="G101" s="67"/>
      <c r="H101" s="67"/>
      <c r="I101" s="81">
        <f t="shared" si="1"/>
        <v>0</v>
      </c>
      <c r="J101" s="36"/>
      <c r="K101" s="36"/>
      <c r="L101" s="67"/>
      <c r="M101" s="56"/>
    </row>
    <row r="102" spans="1:13" ht="12.5">
      <c r="A102" s="79" t="s">
        <v>476</v>
      </c>
      <c r="B102" s="117" t="str">
        <f>HYPERLINK("https://uva.onlinejudge.org/index.php?option=com_onlinejudge&amp;Itemid=8&amp;page=show_problem&amp;problem=58","UVA 122")</f>
        <v>UVA 122</v>
      </c>
      <c r="C102" s="36"/>
      <c r="D102" s="36"/>
      <c r="E102" s="36"/>
      <c r="F102" s="36"/>
      <c r="G102" s="36"/>
      <c r="H102" s="36"/>
      <c r="I102" s="36">
        <f t="shared" si="1"/>
        <v>0</v>
      </c>
      <c r="J102" s="36"/>
      <c r="K102" s="36"/>
      <c r="L102" s="36"/>
      <c r="M102" s="94" t="str">
        <f>HYPERLINK("https://www.youtube.com/watch?v=b6D-7cqN2jM","Video Solution - SolverToBe (Java)")</f>
        <v>Video Solution - SolverToBe (Java)</v>
      </c>
    </row>
    <row r="103" spans="1:13" ht="12.5">
      <c r="A103" s="79" t="s">
        <v>477</v>
      </c>
      <c r="B103" s="118" t="str">
        <f>HYPERLINK("http://acm.timus.ru/problem.aspx?space=1&amp;num=1100","TIMUS 1100")</f>
        <v>TIMUS 1100</v>
      </c>
      <c r="C103" s="36"/>
      <c r="D103" s="36"/>
      <c r="E103" s="36"/>
      <c r="F103" s="36"/>
      <c r="G103" s="36"/>
      <c r="H103" s="36"/>
      <c r="I103" s="36">
        <f t="shared" si="1"/>
        <v>0</v>
      </c>
      <c r="J103" s="36"/>
      <c r="K103" s="36"/>
      <c r="L103" s="36"/>
      <c r="M103" s="94" t="str">
        <f>HYPERLINK("https://github.com/marioyc/Online-Judge-Solutions/blob/master/Timus%20Online%20Judge/1100%20-%20Final%20Standings.cpp","Stable sort exercise")</f>
        <v>Stable sort exercise</v>
      </c>
    </row>
    <row r="104" spans="1:13" ht="12.5">
      <c r="A104" s="79" t="s">
        <v>478</v>
      </c>
      <c r="B104" s="118" t="str">
        <f>HYPERLINK("http://acm.timus.ru/problem.aspx?space=1&amp;num=1349","TIMUS 1349")</f>
        <v>TIMUS 1349</v>
      </c>
      <c r="C104" s="36"/>
      <c r="D104" s="36"/>
      <c r="E104" s="36"/>
      <c r="F104" s="36"/>
      <c r="G104" s="36"/>
      <c r="H104" s="36"/>
      <c r="I104" s="36">
        <f t="shared" si="1"/>
        <v>0</v>
      </c>
      <c r="J104" s="36"/>
      <c r="K104" s="36"/>
      <c r="L104" s="36"/>
      <c r="M104" s="94" t="str">
        <f>HYPERLINK("http://xoptutorials.com/index.php/2017/01/01/timus1349/","Learn Fermat’s Last Theorem")</f>
        <v>Learn Fermat’s Last Theorem</v>
      </c>
    </row>
    <row r="105" spans="1:13" ht="12.5">
      <c r="A105" s="56"/>
      <c r="B105" s="112"/>
      <c r="C105" s="67"/>
      <c r="D105" s="67"/>
      <c r="E105" s="67"/>
      <c r="F105" s="67"/>
      <c r="G105" s="67"/>
      <c r="H105" s="67"/>
      <c r="I105" s="36">
        <f t="shared" si="1"/>
        <v>0</v>
      </c>
      <c r="J105" s="36"/>
      <c r="K105" s="36"/>
      <c r="L105" s="67"/>
      <c r="M105" s="56"/>
    </row>
    <row r="106" spans="1:13" ht="12.5">
      <c r="A106" s="46" t="s">
        <v>479</v>
      </c>
      <c r="B106" s="31" t="str">
        <f>HYPERLINK("http://codeforces.com/contest/415/problem/B","CF415-D2-B")</f>
        <v>CF415-D2-B</v>
      </c>
      <c r="C106" s="67"/>
      <c r="D106" s="67"/>
      <c r="E106" s="67"/>
      <c r="F106" s="67"/>
      <c r="G106" s="67"/>
      <c r="H106" s="67"/>
      <c r="I106" s="36">
        <f t="shared" si="1"/>
        <v>0</v>
      </c>
      <c r="J106" s="36"/>
      <c r="K106" s="36"/>
      <c r="L106" s="67"/>
      <c r="M106" s="95" t="str">
        <f>HYPERLINK("https://www.youtube.com/watch?v=ZNxSTHmpLGc&amp;feature=youtu.be","Video Solution - Eng Salma Yehia")</f>
        <v>Video Solution - Eng Salma Yehia</v>
      </c>
    </row>
    <row r="107" spans="1:13" ht="12.5">
      <c r="A107" s="46" t="s">
        <v>480</v>
      </c>
      <c r="B107" s="31" t="str">
        <f>HYPERLINK("http://codeforces.com/contest/602/problem/B","CF602-D2-B")</f>
        <v>CF602-D2-B</v>
      </c>
      <c r="C107" s="67"/>
      <c r="D107" s="67"/>
      <c r="E107" s="67"/>
      <c r="F107" s="67"/>
      <c r="G107" s="67"/>
      <c r="H107" s="67"/>
      <c r="I107" s="36">
        <f t="shared" si="1"/>
        <v>0</v>
      </c>
      <c r="J107" s="36"/>
      <c r="K107" s="36"/>
      <c r="L107" s="67"/>
      <c r="M107" s="95" t="str">
        <f>HYPERLINK("https://www.youtube.com/watch?v=g93nX3rLVuk#_=_","Video Solution - Eng Salma Yehia")</f>
        <v>Video Solution - Eng Salma Yehia</v>
      </c>
    </row>
    <row r="108" spans="1:13" ht="12.5">
      <c r="A108" s="46" t="s">
        <v>481</v>
      </c>
      <c r="B108" s="31" t="str">
        <f>HYPERLINK("http://codeforces.com/contest/614/problem/B","CF614-D2-B")</f>
        <v>CF614-D2-B</v>
      </c>
      <c r="C108" s="67"/>
      <c r="D108" s="67"/>
      <c r="E108" s="67"/>
      <c r="F108" s="67"/>
      <c r="G108" s="67"/>
      <c r="H108" s="67"/>
      <c r="I108" s="36">
        <f t="shared" si="1"/>
        <v>0</v>
      </c>
      <c r="J108" s="36"/>
      <c r="K108" s="36"/>
      <c r="L108" s="67"/>
      <c r="M108" s="134" t="s">
        <v>482</v>
      </c>
    </row>
    <row r="109" spans="1:13" ht="37.5">
      <c r="A109" s="46" t="s">
        <v>483</v>
      </c>
      <c r="B109" s="135" t="s">
        <v>484</v>
      </c>
      <c r="C109" s="67"/>
      <c r="D109" s="67"/>
      <c r="E109" s="67"/>
      <c r="F109" s="67"/>
      <c r="G109" s="67"/>
      <c r="H109" s="67"/>
      <c r="I109" s="36">
        <f t="shared" si="1"/>
        <v>0</v>
      </c>
      <c r="J109" s="36"/>
      <c r="K109" s="36"/>
      <c r="L109" s="67"/>
      <c r="M109" s="134" t="s">
        <v>484</v>
      </c>
    </row>
    <row r="110" spans="1:13" ht="12.5">
      <c r="A110" s="46" t="s">
        <v>485</v>
      </c>
      <c r="B110" s="31" t="str">
        <f>HYPERLINK("http://codeforces.com/contest/510/problem/B","CF510-D2-B")</f>
        <v>CF510-D2-B</v>
      </c>
      <c r="C110" s="67"/>
      <c r="D110" s="67"/>
      <c r="E110" s="67"/>
      <c r="F110" s="67"/>
      <c r="G110" s="67"/>
      <c r="H110" s="67"/>
      <c r="I110" s="36">
        <f t="shared" si="1"/>
        <v>0</v>
      </c>
      <c r="J110" s="36"/>
      <c r="K110" s="36"/>
      <c r="L110" s="67"/>
      <c r="M110" s="136" t="str">
        <f>HYPERLINK("https://www.youtube.com/watch?v=LHIZzMjnG0k&amp;feature=youtu.be","Video Solution - Eng Mohamed Adel")</f>
        <v>Video Solution - Eng Mohamed Adel</v>
      </c>
    </row>
    <row r="111" spans="1:13" ht="12.5">
      <c r="A111" s="46" t="s">
        <v>486</v>
      </c>
      <c r="B111" s="31" t="str">
        <f>HYPERLINK("http://codeforces.com/contest/337/problem/B","CF337-D2-B")</f>
        <v>CF337-D2-B</v>
      </c>
      <c r="C111" s="67"/>
      <c r="D111" s="67"/>
      <c r="E111" s="67"/>
      <c r="F111" s="67"/>
      <c r="G111" s="67"/>
      <c r="H111" s="67"/>
      <c r="I111" s="36">
        <f t="shared" si="1"/>
        <v>0</v>
      </c>
      <c r="J111" s="36"/>
      <c r="K111" s="36"/>
      <c r="L111" s="67"/>
      <c r="M111" s="136" t="str">
        <f>HYPERLINK("https://www.youtube.com/watch?v=NaB4pnNbXEY","Video Solution - Eng Mohamed Adel")</f>
        <v>Video Solution - Eng Mohamed Adel</v>
      </c>
    </row>
    <row r="112" spans="1:13" ht="15" customHeight="1">
      <c r="A112" s="46" t="s">
        <v>487</v>
      </c>
      <c r="B112" s="31" t="str">
        <f>HYPERLINK("http://codeforces.com/contest/493/problem/B","CF493-D2-B")</f>
        <v>CF493-D2-B</v>
      </c>
      <c r="C112" s="67"/>
      <c r="D112" s="67"/>
      <c r="E112" s="67"/>
      <c r="F112" s="67"/>
      <c r="G112" s="67"/>
      <c r="H112" s="67"/>
      <c r="I112" s="36">
        <f t="shared" si="1"/>
        <v>0</v>
      </c>
      <c r="J112" s="36"/>
      <c r="K112" s="36"/>
      <c r="L112" s="67"/>
      <c r="M112" s="134" t="s">
        <v>484</v>
      </c>
    </row>
    <row r="113" spans="1:13" ht="12.5">
      <c r="A113" s="46" t="s">
        <v>488</v>
      </c>
      <c r="B113" s="31" t="str">
        <f>HYPERLINK("http://codeforces.com/contest/608/problem/B","CF608-D2-B")</f>
        <v>CF608-D2-B</v>
      </c>
      <c r="C113" s="67"/>
      <c r="D113" s="67"/>
      <c r="E113" s="67"/>
      <c r="F113" s="67"/>
      <c r="G113" s="67"/>
      <c r="H113" s="67"/>
      <c r="I113" s="36">
        <f t="shared" si="1"/>
        <v>0</v>
      </c>
      <c r="J113" s="36"/>
      <c r="K113" s="36"/>
      <c r="L113" s="67"/>
      <c r="M113" s="134" t="s">
        <v>484</v>
      </c>
    </row>
    <row r="114" spans="1:13" ht="12.5">
      <c r="A114" s="56" t="s">
        <v>489</v>
      </c>
      <c r="B114" s="131" t="str">
        <f>HYPERLINK("http://codeforces.com/contest/621/problem/B","CF621-D2-B")</f>
        <v>CF621-D2-B</v>
      </c>
      <c r="C114" s="10"/>
      <c r="D114" s="10"/>
      <c r="E114" s="10"/>
      <c r="F114" s="10"/>
      <c r="G114" s="10"/>
      <c r="H114" s="67"/>
      <c r="I114" s="36">
        <f t="shared" si="1"/>
        <v>0</v>
      </c>
      <c r="J114" s="36"/>
      <c r="K114" s="36"/>
      <c r="L114" s="10"/>
      <c r="M114" s="137" t="str">
        <f>HYPERLINK("https://www.youtube.com/watch?v=zKne2u4DuIs&amp;feature=youtu.be","Video Solution - Eng Mahmoud Mabrok")</f>
        <v>Video Solution - Eng Mahmoud Mabrok</v>
      </c>
    </row>
    <row r="115" spans="1:13" ht="12.5">
      <c r="A115" s="46" t="s">
        <v>490</v>
      </c>
      <c r="B115" s="31" t="str">
        <f>HYPERLINK("http://codeforces.com/contest/580/problem/B","CF580-D2-B")</f>
        <v>CF580-D2-B</v>
      </c>
      <c r="C115" s="67"/>
      <c r="D115" s="67"/>
      <c r="E115" s="67"/>
      <c r="F115" s="67"/>
      <c r="G115" s="67"/>
      <c r="H115" s="67"/>
      <c r="I115" s="36">
        <f t="shared" si="1"/>
        <v>0</v>
      </c>
      <c r="J115" s="36"/>
      <c r="K115" s="36"/>
      <c r="L115" s="67"/>
      <c r="M115" s="94" t="str">
        <f>HYPERLINK("https://www.youtube.com/watch?v=kUXDNSkFECM","Video Solution - SolverToBe (Java)")</f>
        <v>Video Solution - SolverToBe (Java)</v>
      </c>
    </row>
    <row r="116" spans="1:13" ht="12.5">
      <c r="A116" s="56" t="s">
        <v>491</v>
      </c>
      <c r="B116" s="131" t="str">
        <f>HYPERLINK("http://codeforces.com/contest/535/problem/B","CF535-D2-B")</f>
        <v>CF535-D2-B</v>
      </c>
      <c r="C116" s="10"/>
      <c r="D116" s="10"/>
      <c r="E116" s="10"/>
      <c r="F116" s="10"/>
      <c r="G116" s="10"/>
      <c r="H116" s="10"/>
      <c r="I116" s="67">
        <f t="shared" si="1"/>
        <v>0</v>
      </c>
      <c r="J116" s="10"/>
      <c r="K116" s="10"/>
      <c r="L116" s="10"/>
      <c r="M116" s="59" t="str">
        <f>HYPERLINK("https://www.youtube.com/watch?v=NPVp5BntYZ4","Video Solution - Eng Abanob Ashraf")</f>
        <v>Video Solution - Eng Abanob Ashraf</v>
      </c>
    </row>
    <row r="117" spans="1:13" ht="12.5">
      <c r="A117" s="56"/>
      <c r="B117" s="76"/>
      <c r="C117" s="10"/>
      <c r="D117" s="10"/>
      <c r="E117" s="10"/>
      <c r="F117" s="10"/>
      <c r="G117" s="10"/>
      <c r="H117" s="10"/>
      <c r="I117" s="67">
        <f t="shared" si="1"/>
        <v>0</v>
      </c>
      <c r="J117" s="10"/>
      <c r="K117" s="10"/>
      <c r="L117" s="10"/>
      <c r="M117" s="56"/>
    </row>
    <row r="118" spans="1:13" ht="12.5">
      <c r="A118" s="56" t="s">
        <v>492</v>
      </c>
      <c r="B118" s="76" t="str">
        <f>HYPERLINK("http://codeforces.com/contest/1009/problem/B","CF1009-D12-B")</f>
        <v>CF1009-D12-B</v>
      </c>
      <c r="C118" s="10"/>
      <c r="D118" s="10"/>
      <c r="E118" s="10"/>
      <c r="F118" s="10"/>
      <c r="G118" s="10"/>
      <c r="H118" s="10"/>
      <c r="I118" s="67">
        <f t="shared" si="1"/>
        <v>0</v>
      </c>
      <c r="J118" s="10"/>
      <c r="K118" s="10"/>
      <c r="L118" s="10"/>
      <c r="M118" s="124" t="s">
        <v>463</v>
      </c>
    </row>
    <row r="119" spans="1:13" ht="12.5">
      <c r="A119" s="56"/>
      <c r="B119" s="94" t="str">
        <f>HYPERLINK("https://codeforces.com/contest/1030/problem/B","CF1030-D12-B")</f>
        <v>CF1030-D12-B</v>
      </c>
      <c r="C119" s="10"/>
      <c r="D119" s="10"/>
      <c r="E119" s="10"/>
      <c r="F119" s="10"/>
      <c r="G119" s="10"/>
      <c r="H119" s="10"/>
      <c r="I119" s="67">
        <f t="shared" si="1"/>
        <v>0</v>
      </c>
      <c r="J119" s="10"/>
      <c r="K119" s="10"/>
      <c r="L119" s="10"/>
      <c r="M119" s="56"/>
    </row>
    <row r="120" spans="1:13" ht="12.5">
      <c r="A120" s="56"/>
      <c r="B120" s="138" t="str">
        <f>HYPERLINK("https://codeforces.com/contest/1051/problem/B", "CF1051-D2-B")</f>
        <v>CF1051-D2-B</v>
      </c>
      <c r="C120" s="10"/>
      <c r="D120" s="10"/>
      <c r="E120" s="10"/>
      <c r="F120" s="10"/>
      <c r="G120" s="10"/>
      <c r="H120" s="10"/>
      <c r="I120" s="67">
        <f t="shared" si="1"/>
        <v>0</v>
      </c>
      <c r="J120" s="10"/>
      <c r="K120" s="10"/>
      <c r="L120" s="10"/>
      <c r="M120" s="56"/>
    </row>
    <row r="121" spans="1:13" ht="12.5">
      <c r="A121" s="56"/>
      <c r="B121" s="99" t="str">
        <f>HYPERLINK("https://codeforces.com/contest/1237/problem/B","CF1237-D12-B")</f>
        <v>CF1237-D12-B</v>
      </c>
      <c r="C121" s="10"/>
      <c r="D121" s="10"/>
      <c r="E121" s="10"/>
      <c r="F121" s="10"/>
      <c r="G121" s="10"/>
      <c r="H121" s="10"/>
      <c r="I121" s="67">
        <f t="shared" si="1"/>
        <v>0</v>
      </c>
      <c r="J121" s="10"/>
      <c r="K121" s="10"/>
      <c r="L121" s="10"/>
      <c r="M121" s="56"/>
    </row>
    <row r="122" spans="1:13" ht="13">
      <c r="A122" s="10"/>
      <c r="B122" s="10"/>
      <c r="C122" s="10"/>
      <c r="D122" s="10"/>
      <c r="E122" s="10"/>
      <c r="F122" s="10"/>
      <c r="G122" s="10"/>
      <c r="H122" s="67"/>
      <c r="I122" s="36">
        <f t="shared" si="1"/>
        <v>0</v>
      </c>
      <c r="J122" s="36"/>
      <c r="K122" s="36"/>
      <c r="L122" s="10"/>
      <c r="M122" s="113"/>
    </row>
    <row r="123" spans="1:13" ht="13">
      <c r="A123" s="10"/>
      <c r="B123" s="10"/>
      <c r="C123" s="10"/>
      <c r="D123" s="10"/>
      <c r="E123" s="10"/>
      <c r="F123" s="10"/>
      <c r="G123" s="10"/>
      <c r="H123" s="67"/>
      <c r="I123" s="36">
        <f t="shared" si="1"/>
        <v>0</v>
      </c>
      <c r="J123" s="36"/>
      <c r="K123" s="36"/>
      <c r="L123" s="10"/>
      <c r="M123" s="113" t="str">
        <f>HYPERLINK("https://www.youtube.com/watch?v=iXxP_liQklk","Watch - Intro to Greedy")</f>
        <v>Watch - Intro to Greedy</v>
      </c>
    </row>
    <row r="124" spans="1:13" ht="12.5">
      <c r="A124" s="74" t="s">
        <v>493</v>
      </c>
      <c r="B124" s="139" t="str">
        <f>HYPERLINK("http://codeforces.com/contest/282/problem/B","CF282-D2-B")</f>
        <v>CF282-D2-B</v>
      </c>
      <c r="C124" s="10"/>
      <c r="D124" s="10"/>
      <c r="E124" s="10"/>
      <c r="F124" s="10"/>
      <c r="G124" s="10"/>
      <c r="H124" s="67"/>
      <c r="I124" s="36">
        <f t="shared" si="1"/>
        <v>0</v>
      </c>
      <c r="J124" s="36"/>
      <c r="K124" s="36"/>
      <c r="L124" s="10"/>
      <c r="M124" s="10"/>
    </row>
    <row r="125" spans="1:13" ht="12.5">
      <c r="A125" s="74" t="s">
        <v>494</v>
      </c>
      <c r="B125" s="139" t="str">
        <f>HYPERLINK("http://codeforces.com/contest/435/problem/B","CF435-D2-B")</f>
        <v>CF435-D2-B</v>
      </c>
      <c r="C125" s="10"/>
      <c r="D125" s="10"/>
      <c r="E125" s="10"/>
      <c r="F125" s="10"/>
      <c r="G125" s="10"/>
      <c r="H125" s="67"/>
      <c r="I125" s="36">
        <f t="shared" si="1"/>
        <v>0</v>
      </c>
      <c r="J125" s="36"/>
      <c r="K125" s="36"/>
      <c r="L125" s="10"/>
      <c r="M125" s="59" t="str">
        <f>HYPERLINK("https://www.youtube.com/watch?v=hDsuoSTdytw&amp;feature=youtu.be","Video Solution - Eng Hossam Yehia")</f>
        <v>Video Solution - Eng Hossam Yehia</v>
      </c>
    </row>
    <row r="126" spans="1:13" ht="12.5">
      <c r="A126" s="74" t="s">
        <v>495</v>
      </c>
      <c r="B126" s="139" t="str">
        <f>HYPERLINK("http://codeforces.com/contest/276/problem/B","CF276-D2-B")</f>
        <v>CF276-D2-B</v>
      </c>
      <c r="C126" s="10"/>
      <c r="D126" s="10"/>
      <c r="E126" s="10"/>
      <c r="F126" s="10"/>
      <c r="G126" s="10"/>
      <c r="H126" s="67"/>
      <c r="I126" s="36">
        <f t="shared" si="1"/>
        <v>0</v>
      </c>
      <c r="J126" s="36"/>
      <c r="K126" s="36"/>
      <c r="L126" s="10"/>
      <c r="M126" s="59" t="str">
        <f>HYPERLINK("https://www.youtube.com/watch?v=WrpG_n0SrbY&amp;feature=youtu.be","Video Solution - Eng Hossam Yehia")</f>
        <v>Video Solution - Eng Hossam Yehia</v>
      </c>
    </row>
    <row r="127" spans="1:13" ht="12.5">
      <c r="A127" s="74" t="s">
        <v>496</v>
      </c>
      <c r="B127" s="139" t="str">
        <f>HYPERLINK("http://codeforces.com/contest/525/problem/B","CF525-D2-B")</f>
        <v>CF525-D2-B</v>
      </c>
      <c r="C127" s="10"/>
      <c r="D127" s="10"/>
      <c r="E127" s="10"/>
      <c r="F127" s="10"/>
      <c r="G127" s="10"/>
      <c r="H127" s="67"/>
      <c r="I127" s="36">
        <f t="shared" si="1"/>
        <v>0</v>
      </c>
      <c r="J127" s="36"/>
      <c r="K127" s="36"/>
      <c r="L127" s="10"/>
      <c r="M127" s="59" t="str">
        <f>HYPERLINK("https://www.youtube.com/watch?v=NPVp5BntYZ4","Video Solution - Eng Hossam Yehia")</f>
        <v>Video Solution - Eng Hossam Yehia</v>
      </c>
    </row>
    <row r="128" spans="1:13" ht="12.5">
      <c r="A128" s="74" t="s">
        <v>497</v>
      </c>
      <c r="B128" s="140" t="str">
        <f>HYPERLINK("http://codeforces.com/contest/416/problem/C","CF416-D2-C")</f>
        <v>CF416-D2-C</v>
      </c>
      <c r="C128" s="10"/>
      <c r="D128" s="10"/>
      <c r="E128" s="10"/>
      <c r="F128" s="10"/>
      <c r="G128" s="10"/>
      <c r="H128" s="67"/>
      <c r="I128" s="36">
        <f t="shared" si="1"/>
        <v>0</v>
      </c>
      <c r="J128" s="36"/>
      <c r="K128" s="36"/>
      <c r="L128" s="10"/>
      <c r="M128" s="10"/>
    </row>
    <row r="129" spans="1:13" ht="12.5">
      <c r="A129" s="74" t="s">
        <v>498</v>
      </c>
      <c r="B129" s="140" t="str">
        <f>HYPERLINK("http://codeforces.com/contest/492/problem/C","CF492-D2-C")</f>
        <v>CF492-D2-C</v>
      </c>
      <c r="C129" s="10"/>
      <c r="D129" s="10"/>
      <c r="E129" s="10"/>
      <c r="F129" s="10"/>
      <c r="G129" s="10"/>
      <c r="H129" s="67"/>
      <c r="I129" s="36">
        <f t="shared" si="1"/>
        <v>0</v>
      </c>
      <c r="J129" s="36"/>
      <c r="K129" s="36"/>
      <c r="L129" s="10"/>
      <c r="M129" s="10"/>
    </row>
    <row r="130" spans="1:13" ht="12.5">
      <c r="A130" s="79" t="s">
        <v>499</v>
      </c>
      <c r="B130" s="117" t="str">
        <f>HYPERLINK("https://uva.onlinejudge.org/index.php?option=com_onlinejudge&amp;Itemid=8&amp;page=show_problem&amp;problem=41","UVA 105")</f>
        <v>UVA 105</v>
      </c>
      <c r="C130" s="10"/>
      <c r="D130" s="10"/>
      <c r="E130" s="10"/>
      <c r="F130" s="10"/>
      <c r="G130" s="10"/>
      <c r="H130" s="67"/>
      <c r="I130" s="36">
        <f t="shared" si="1"/>
        <v>0</v>
      </c>
      <c r="J130" s="36"/>
      <c r="K130" s="36"/>
      <c r="L130" s="10"/>
      <c r="M130" s="10"/>
    </row>
    <row r="131" spans="1:13" ht="12.5">
      <c r="A131" s="79" t="s">
        <v>500</v>
      </c>
      <c r="B131" s="129" t="str">
        <f>HYPERLINK("https://uva.onlinejudge.org/index.php?option=onlinejudge&amp;page=show_problem&amp;problem=1217","UVA 10276")</f>
        <v>UVA 10276</v>
      </c>
      <c r="C131" s="67"/>
      <c r="D131" s="67"/>
      <c r="E131" s="67"/>
      <c r="F131" s="67"/>
      <c r="G131" s="67"/>
      <c r="H131" s="67"/>
      <c r="I131" s="36">
        <f t="shared" si="1"/>
        <v>0</v>
      </c>
      <c r="J131" s="36"/>
      <c r="K131" s="36"/>
      <c r="L131" s="67"/>
      <c r="M131" s="95" t="str">
        <f>HYPERLINK("https://www.youtube.com/watch?v=ygWfse3bBLI&amp;feature=youtu.be","Video Solution - Eng Mahmoud Adel")</f>
        <v>Video Solution - Eng Mahmoud Adel</v>
      </c>
    </row>
    <row r="132" spans="1:13" ht="12.5">
      <c r="A132" s="79" t="s">
        <v>501</v>
      </c>
      <c r="B132" s="129" t="str">
        <f>HYPERLINK("https://uva.onlinejudge.org/index.php?option=onlinejudge&amp;page=show_problem&amp;problem=725","UVA 784")</f>
        <v>UVA 784</v>
      </c>
      <c r="C132" s="67"/>
      <c r="D132" s="67"/>
      <c r="E132" s="67"/>
      <c r="F132" s="67"/>
      <c r="G132" s="67"/>
      <c r="H132" s="67"/>
      <c r="I132" s="36">
        <f t="shared" si="1"/>
        <v>0</v>
      </c>
      <c r="J132" s="36"/>
      <c r="K132" s="36"/>
      <c r="L132" s="67"/>
      <c r="M132" s="95" t="str">
        <f>HYPERLINK("https://www.youtube.com/watch?v=khOAL6TflhE&amp;feature=youtu.be","Video Solution - Eng Mahmoud Adel")</f>
        <v>Video Solution - Eng Mahmoud Adel</v>
      </c>
    </row>
    <row r="133" spans="1:13" ht="12.5">
      <c r="A133" s="79" t="s">
        <v>502</v>
      </c>
      <c r="B133" s="141" t="s">
        <v>503</v>
      </c>
      <c r="C133" s="67"/>
      <c r="D133" s="67"/>
      <c r="E133" s="67"/>
      <c r="F133" s="67"/>
      <c r="G133" s="67"/>
      <c r="H133" s="67"/>
      <c r="I133" s="81">
        <f t="shared" si="1"/>
        <v>0</v>
      </c>
      <c r="J133" s="36"/>
      <c r="K133" s="36"/>
      <c r="L133" s="67"/>
      <c r="M133" s="10"/>
    </row>
    <row r="134" spans="1:13" ht="12.5">
      <c r="A134" s="142"/>
      <c r="B134" s="143"/>
      <c r="C134" s="144"/>
      <c r="D134" s="144"/>
      <c r="E134" s="144"/>
      <c r="F134" s="144"/>
      <c r="G134" s="144"/>
      <c r="H134" s="144"/>
      <c r="I134" s="144">
        <f>SUM(E134:G134)</f>
        <v>0</v>
      </c>
      <c r="J134" s="144"/>
      <c r="K134" s="144"/>
      <c r="L134" s="144"/>
      <c r="M134" s="142"/>
    </row>
    <row r="135" spans="1:13" ht="12.5">
      <c r="A135" s="56"/>
      <c r="B135" s="10"/>
      <c r="C135" s="67"/>
      <c r="D135" s="391" t="s">
        <v>275</v>
      </c>
      <c r="E135" s="365"/>
      <c r="F135" s="365"/>
      <c r="G135" s="365"/>
      <c r="H135" s="67"/>
      <c r="I135" s="67">
        <f>SUM(E135:G135)</f>
        <v>0</v>
      </c>
      <c r="J135" s="390" t="s">
        <v>276</v>
      </c>
      <c r="K135" s="365"/>
      <c r="L135" s="365"/>
      <c r="M135" s="365"/>
    </row>
    <row r="136" spans="1:13" ht="12.5">
      <c r="A136" s="142"/>
      <c r="B136" s="143"/>
      <c r="C136" s="144"/>
      <c r="D136" s="144"/>
      <c r="E136" s="144"/>
      <c r="F136" s="144"/>
      <c r="G136" s="144"/>
      <c r="H136" s="144"/>
      <c r="I136" s="144">
        <f>SUM(E136:G136)</f>
        <v>0</v>
      </c>
      <c r="J136" s="144"/>
      <c r="K136" s="144"/>
      <c r="L136" s="144"/>
      <c r="M136" s="142"/>
    </row>
    <row r="137" spans="1:13" ht="12.5">
      <c r="A137" s="56" t="s">
        <v>504</v>
      </c>
      <c r="B137" s="63" t="str">
        <f>HYPERLINK("http://codeforces.com/contest/439/problem/B","CF439-D2-B")</f>
        <v>CF439-D2-B</v>
      </c>
      <c r="C137" s="10"/>
      <c r="D137" s="10"/>
      <c r="E137" s="10"/>
      <c r="F137" s="10"/>
      <c r="G137" s="10"/>
      <c r="H137" s="10"/>
      <c r="I137" s="67">
        <f t="shared" ref="I137:I218" si="2">SUM(E137:H137)</f>
        <v>0</v>
      </c>
      <c r="J137" s="10"/>
      <c r="K137" s="10"/>
      <c r="L137" s="10"/>
      <c r="M137" s="87" t="str">
        <f>HYPERLINK("https://www.youtube.com/watch?v=KoGeW-vs7VY","Video Solution - Solver to be (Java)")</f>
        <v>Video Solution - Solver to be (Java)</v>
      </c>
    </row>
    <row r="138" spans="1:13" ht="12.5">
      <c r="A138" s="56" t="s">
        <v>505</v>
      </c>
      <c r="B138" s="63" t="str">
        <f>HYPERLINK("http://codeforces.com/contest/796/problem/B","CF796-D2-B")</f>
        <v>CF796-D2-B</v>
      </c>
      <c r="C138" s="10"/>
      <c r="D138" s="10"/>
      <c r="E138" s="10"/>
      <c r="F138" s="10"/>
      <c r="G138" s="10"/>
      <c r="H138" s="10"/>
      <c r="I138" s="67">
        <f t="shared" si="2"/>
        <v>0</v>
      </c>
      <c r="J138" s="10"/>
      <c r="K138" s="10"/>
      <c r="L138" s="10"/>
      <c r="M138" s="87" t="str">
        <f>HYPERLINK("https://www.youtube.com/watch?v=sLBLgccZ3CM","Video Solution - Solver to be (Java)")</f>
        <v>Video Solution - Solver to be (Java)</v>
      </c>
    </row>
    <row r="139" spans="1:13" ht="12.5">
      <c r="A139" s="56" t="s">
        <v>506</v>
      </c>
      <c r="B139" s="63" t="str">
        <f>HYPERLINK("http://codeforces.com/contest/26/problem/B","CF26-D12-B")</f>
        <v>CF26-D12-B</v>
      </c>
      <c r="C139" s="10"/>
      <c r="D139" s="10"/>
      <c r="E139" s="10"/>
      <c r="F139" s="10"/>
      <c r="G139" s="10"/>
      <c r="H139" s="10"/>
      <c r="I139" s="67">
        <f t="shared" si="2"/>
        <v>0</v>
      </c>
      <c r="J139" s="10"/>
      <c r="K139" s="10"/>
      <c r="L139" s="10"/>
      <c r="M139" s="87" t="str">
        <f>HYPERLINK("https://www.youtube.com/watch?v=bz1ZEbzCFfU","Video Solution - Solver to be (Java)")</f>
        <v>Video Solution - Solver to be (Java)</v>
      </c>
    </row>
    <row r="140" spans="1:13" ht="12.5">
      <c r="A140" s="46" t="s">
        <v>507</v>
      </c>
      <c r="B140" s="130" t="str">
        <f>HYPERLINK("http://codeforces.com/contest/465/problem/B","CF465-D2-B")</f>
        <v>CF465-D2-B</v>
      </c>
      <c r="C140" s="67"/>
      <c r="D140" s="67"/>
      <c r="E140" s="67"/>
      <c r="F140" s="67"/>
      <c r="G140" s="67"/>
      <c r="H140" s="67"/>
      <c r="I140" s="36">
        <f t="shared" si="2"/>
        <v>0</v>
      </c>
      <c r="J140" s="36"/>
      <c r="K140" s="36"/>
      <c r="L140" s="67"/>
      <c r="M140" s="56"/>
    </row>
    <row r="141" spans="1:13" ht="12.5">
      <c r="A141" s="46" t="s">
        <v>508</v>
      </c>
      <c r="B141" s="130" t="str">
        <f>HYPERLINK("http://codeforces.com/contest/672/problem/B","CF672-D2-B")</f>
        <v>CF672-D2-B</v>
      </c>
      <c r="C141" s="67"/>
      <c r="D141" s="67"/>
      <c r="E141" s="67"/>
      <c r="F141" s="67"/>
      <c r="G141" s="67"/>
      <c r="H141" s="67"/>
      <c r="I141" s="36">
        <f t="shared" si="2"/>
        <v>0</v>
      </c>
      <c r="J141" s="36"/>
      <c r="K141" s="36"/>
      <c r="L141" s="67"/>
      <c r="M141" s="56"/>
    </row>
    <row r="142" spans="1:13" ht="12.5">
      <c r="A142" s="46" t="s">
        <v>509</v>
      </c>
      <c r="B142" s="130" t="str">
        <f>HYPERLINK("http://codeforces.com/contest/137/problem/B","CF137-D2-B")</f>
        <v>CF137-D2-B</v>
      </c>
      <c r="C142" s="67"/>
      <c r="D142" s="67"/>
      <c r="E142" s="67"/>
      <c r="F142" s="67"/>
      <c r="G142" s="67"/>
      <c r="H142" s="67"/>
      <c r="I142" s="36">
        <f t="shared" si="2"/>
        <v>0</v>
      </c>
      <c r="J142" s="36"/>
      <c r="K142" s="36"/>
      <c r="L142" s="67"/>
      <c r="M142" s="56"/>
    </row>
    <row r="143" spans="1:13" ht="12.5">
      <c r="A143" s="46" t="s">
        <v>510</v>
      </c>
      <c r="B143" s="130" t="str">
        <f>HYPERLINK("http://codeforces.com/contest/259/problem/B","CF259-D2-B")</f>
        <v>CF259-D2-B</v>
      </c>
      <c r="C143" s="67"/>
      <c r="D143" s="67"/>
      <c r="E143" s="67"/>
      <c r="F143" s="67"/>
      <c r="G143" s="67"/>
      <c r="H143" s="67"/>
      <c r="I143" s="36">
        <f t="shared" si="2"/>
        <v>0</v>
      </c>
      <c r="J143" s="36"/>
      <c r="K143" s="36"/>
      <c r="L143" s="67"/>
      <c r="M143" s="56"/>
    </row>
    <row r="144" spans="1:13" ht="12.5">
      <c r="A144" s="46" t="s">
        <v>511</v>
      </c>
      <c r="B144" s="130" t="str">
        <f>HYPERLINK("http://codeforces.com/contest/218/problem/B","CF218-D2-B")</f>
        <v>CF218-D2-B</v>
      </c>
      <c r="C144" s="67"/>
      <c r="D144" s="67"/>
      <c r="E144" s="67"/>
      <c r="F144" s="67"/>
      <c r="G144" s="67"/>
      <c r="H144" s="67"/>
      <c r="I144" s="36">
        <f t="shared" si="2"/>
        <v>0</v>
      </c>
      <c r="J144" s="36"/>
      <c r="K144" s="36"/>
      <c r="L144" s="67"/>
      <c r="M144" s="56"/>
    </row>
    <row r="145" spans="1:13" ht="12.5">
      <c r="A145" s="46" t="s">
        <v>512</v>
      </c>
      <c r="B145" s="130" t="str">
        <f>HYPERLINK("http://codeforces.com/contest/732/problem/B","CF732-D2-B")</f>
        <v>CF732-D2-B</v>
      </c>
      <c r="C145" s="67"/>
      <c r="D145" s="67"/>
      <c r="E145" s="67"/>
      <c r="F145" s="67"/>
      <c r="G145" s="67"/>
      <c r="H145" s="67"/>
      <c r="I145" s="36">
        <f t="shared" si="2"/>
        <v>0</v>
      </c>
      <c r="J145" s="36"/>
      <c r="K145" s="36"/>
      <c r="L145" s="67"/>
      <c r="M145" s="56"/>
    </row>
    <row r="146" spans="1:13" ht="12.5">
      <c r="A146" s="46" t="s">
        <v>513</v>
      </c>
      <c r="B146" s="130" t="str">
        <f>HYPERLINK("http://codeforces.com/contest/427/problem/B","CF427-D2-B")</f>
        <v>CF427-D2-B</v>
      </c>
      <c r="C146" s="67"/>
      <c r="D146" s="67"/>
      <c r="E146" s="67"/>
      <c r="F146" s="67"/>
      <c r="G146" s="67"/>
      <c r="H146" s="67"/>
      <c r="I146" s="36">
        <f t="shared" si="2"/>
        <v>0</v>
      </c>
      <c r="J146" s="36"/>
      <c r="K146" s="36"/>
      <c r="L146" s="67"/>
      <c r="M146" s="56"/>
    </row>
    <row r="147" spans="1:13" ht="12.5">
      <c r="A147" s="46" t="s">
        <v>514</v>
      </c>
      <c r="B147" s="130" t="str">
        <f>HYPERLINK("http://codeforces.com/contest/519/problem/B","CF519-D2-B")</f>
        <v>CF519-D2-B</v>
      </c>
      <c r="C147" s="67"/>
      <c r="D147" s="67"/>
      <c r="E147" s="67"/>
      <c r="F147" s="67"/>
      <c r="G147" s="67"/>
      <c r="H147" s="67"/>
      <c r="I147" s="36">
        <f t="shared" si="2"/>
        <v>0</v>
      </c>
      <c r="J147" s="36"/>
      <c r="K147" s="36"/>
      <c r="L147" s="67"/>
      <c r="M147" s="56"/>
    </row>
    <row r="148" spans="1:13" ht="12.5">
      <c r="A148" s="46" t="s">
        <v>355</v>
      </c>
      <c r="B148" s="130" t="str">
        <f>HYPERLINK("http://codeforces.com/contest/43/problem/B","CF43-D2-B")</f>
        <v>CF43-D2-B</v>
      </c>
      <c r="C148" s="67"/>
      <c r="D148" s="67"/>
      <c r="E148" s="67"/>
      <c r="F148" s="67"/>
      <c r="G148" s="67"/>
      <c r="H148" s="67"/>
      <c r="I148" s="36">
        <f t="shared" si="2"/>
        <v>0</v>
      </c>
      <c r="J148" s="36"/>
      <c r="K148" s="36"/>
      <c r="L148" s="67"/>
      <c r="M148" s="56"/>
    </row>
    <row r="149" spans="1:13" ht="12.5">
      <c r="A149" s="46" t="s">
        <v>515</v>
      </c>
      <c r="B149" s="130" t="str">
        <f>HYPERLINK("http://codeforces.com/contest/670/problem/B","CF670-D2-B")</f>
        <v>CF670-D2-B</v>
      </c>
      <c r="C149" s="67"/>
      <c r="D149" s="67"/>
      <c r="E149" s="67"/>
      <c r="F149" s="67"/>
      <c r="G149" s="67"/>
      <c r="H149" s="67"/>
      <c r="I149" s="36">
        <f t="shared" si="2"/>
        <v>0</v>
      </c>
      <c r="J149" s="36"/>
      <c r="K149" s="36"/>
      <c r="L149" s="67"/>
      <c r="M149" s="56"/>
    </row>
    <row r="150" spans="1:13" ht="12.5">
      <c r="A150" s="46"/>
      <c r="C150" s="67"/>
      <c r="D150" s="67"/>
      <c r="E150" s="67"/>
      <c r="F150" s="67"/>
      <c r="G150" s="67"/>
      <c r="H150" s="67"/>
      <c r="I150" s="36">
        <f t="shared" si="2"/>
        <v>0</v>
      </c>
      <c r="J150" s="36"/>
      <c r="K150" s="36"/>
      <c r="L150" s="67"/>
      <c r="M150" s="56"/>
    </row>
    <row r="151" spans="1:13" ht="12.5">
      <c r="A151" s="56" t="s">
        <v>516</v>
      </c>
      <c r="B151" s="63" t="str">
        <f>HYPERLINK("http://codeforces.com/contest/90/problem/B","CF90-D2-B")</f>
        <v>CF90-D2-B</v>
      </c>
      <c r="C151" s="10"/>
      <c r="D151" s="10"/>
      <c r="E151" s="10"/>
      <c r="F151" s="10"/>
      <c r="G151" s="10"/>
      <c r="H151" s="67"/>
      <c r="I151" s="36">
        <f t="shared" si="2"/>
        <v>0</v>
      </c>
      <c r="J151" s="36"/>
      <c r="K151" s="36"/>
      <c r="L151" s="10"/>
      <c r="M151" s="10"/>
    </row>
    <row r="152" spans="1:13" ht="12.5">
      <c r="A152" s="56" t="s">
        <v>517</v>
      </c>
      <c r="B152" s="63" t="str">
        <f>HYPERLINK("http://codeforces.com/contest/284/problem/B","CF284-D2-B")</f>
        <v>CF284-D2-B</v>
      </c>
      <c r="C152" s="10"/>
      <c r="D152" s="10"/>
      <c r="E152" s="10"/>
      <c r="F152" s="10"/>
      <c r="G152" s="10"/>
      <c r="H152" s="67"/>
      <c r="I152" s="36">
        <f t="shared" si="2"/>
        <v>0</v>
      </c>
      <c r="J152" s="36"/>
      <c r="K152" s="36"/>
      <c r="L152" s="10"/>
      <c r="M152" s="10"/>
    </row>
    <row r="153" spans="1:13" ht="12.5">
      <c r="A153" s="56" t="s">
        <v>518</v>
      </c>
      <c r="B153" s="63" t="str">
        <f>HYPERLINK("http://codeforces.com/contest/285/problem/B","CF285-D2-B")</f>
        <v>CF285-D2-B</v>
      </c>
      <c r="C153" s="10"/>
      <c r="D153" s="10"/>
      <c r="E153" s="10"/>
      <c r="F153" s="10"/>
      <c r="G153" s="10"/>
      <c r="H153" s="67"/>
      <c r="I153" s="36">
        <f t="shared" si="2"/>
        <v>0</v>
      </c>
      <c r="J153" s="36"/>
      <c r="K153" s="36"/>
      <c r="L153" s="10"/>
      <c r="M153" s="10"/>
    </row>
    <row r="154" spans="1:13" ht="12.5">
      <c r="A154" s="56" t="s">
        <v>519</v>
      </c>
      <c r="B154" s="63" t="str">
        <f>HYPERLINK("http://codeforces.com/contest/706/problem/B","CF706-D2-B")</f>
        <v>CF706-D2-B</v>
      </c>
      <c r="C154" s="10"/>
      <c r="D154" s="10"/>
      <c r="E154" s="10"/>
      <c r="F154" s="10"/>
      <c r="G154" s="10"/>
      <c r="H154" s="67"/>
      <c r="I154" s="36">
        <f t="shared" si="2"/>
        <v>0</v>
      </c>
      <c r="J154" s="36"/>
      <c r="K154" s="36"/>
      <c r="L154" s="10"/>
      <c r="M154" s="10"/>
    </row>
    <row r="155" spans="1:13" ht="12.5">
      <c r="A155" s="56" t="s">
        <v>520</v>
      </c>
      <c r="B155" s="63" t="str">
        <f>HYPERLINK("http://codeforces.com/contest/424/problem/B","CF424-D2-B")</f>
        <v>CF424-D2-B</v>
      </c>
      <c r="C155" s="10"/>
      <c r="D155" s="10"/>
      <c r="E155" s="10"/>
      <c r="F155" s="10"/>
      <c r="G155" s="10"/>
      <c r="H155" s="67"/>
      <c r="I155" s="36">
        <f t="shared" si="2"/>
        <v>0</v>
      </c>
      <c r="J155" s="36"/>
      <c r="K155" s="36"/>
      <c r="L155" s="10"/>
      <c r="M155" s="10"/>
    </row>
    <row r="156" spans="1:13" ht="12.5">
      <c r="A156" s="56" t="s">
        <v>521</v>
      </c>
      <c r="B156" s="63" t="str">
        <f>HYPERLINK("http://codeforces.com/contest/651/problem/B","CF651-D2-B")</f>
        <v>CF651-D2-B</v>
      </c>
      <c r="C156" s="10"/>
      <c r="D156" s="10"/>
      <c r="E156" s="10"/>
      <c r="F156" s="10"/>
      <c r="G156" s="10"/>
      <c r="H156" s="67"/>
      <c r="I156" s="36">
        <f t="shared" si="2"/>
        <v>0</v>
      </c>
      <c r="J156" s="36"/>
      <c r="K156" s="36"/>
      <c r="L156" s="10"/>
      <c r="M156" s="10"/>
    </row>
    <row r="157" spans="1:13" ht="12.5">
      <c r="A157" s="56" t="s">
        <v>522</v>
      </c>
      <c r="B157" s="63" t="str">
        <f>HYPERLINK("http://codeforces.com/contest/313/problem/B","CF313-D2-B")</f>
        <v>CF313-D2-B</v>
      </c>
      <c r="C157" s="10"/>
      <c r="D157" s="10"/>
      <c r="E157" s="10"/>
      <c r="F157" s="10"/>
      <c r="G157" s="10"/>
      <c r="H157" s="67"/>
      <c r="I157" s="36">
        <f t="shared" si="2"/>
        <v>0</v>
      </c>
      <c r="J157" s="36"/>
      <c r="K157" s="36"/>
      <c r="L157" s="10"/>
      <c r="M157" s="10"/>
    </row>
    <row r="158" spans="1:13" ht="12.5">
      <c r="A158" s="56" t="s">
        <v>523</v>
      </c>
      <c r="B158" s="63" t="str">
        <f>HYPERLINK("http://codeforces.com/contest/255/problem/B","CF255-D2-B")</f>
        <v>CF255-D2-B</v>
      </c>
      <c r="C158" s="10"/>
      <c r="D158" s="10"/>
      <c r="E158" s="10"/>
      <c r="F158" s="10"/>
      <c r="G158" s="10"/>
      <c r="H158" s="67"/>
      <c r="I158" s="36">
        <f t="shared" si="2"/>
        <v>0</v>
      </c>
      <c r="J158" s="36"/>
      <c r="K158" s="36"/>
      <c r="L158" s="10"/>
      <c r="M158" s="10"/>
    </row>
    <row r="159" spans="1:13" ht="12.5">
      <c r="A159" s="56" t="s">
        <v>524</v>
      </c>
      <c r="B159" s="63" t="str">
        <f>HYPERLINK("http://codeforces.com/contest/327/problem/B","CF327-D2-B")</f>
        <v>CF327-D2-B</v>
      </c>
      <c r="C159" s="10"/>
      <c r="D159" s="10"/>
      <c r="E159" s="10"/>
      <c r="F159" s="10"/>
      <c r="G159" s="10"/>
      <c r="H159" s="67"/>
      <c r="I159" s="36">
        <f t="shared" si="2"/>
        <v>0</v>
      </c>
      <c r="J159" s="36"/>
      <c r="K159" s="36"/>
      <c r="L159" s="10"/>
      <c r="M159" s="10"/>
    </row>
    <row r="160" spans="1:13" ht="12.5">
      <c r="A160" s="56" t="s">
        <v>525</v>
      </c>
      <c r="B160" s="63" t="str">
        <f>HYPERLINK("http://codeforces.com/contest/743/problem/B","CF743-D2-B")</f>
        <v>CF743-D2-B</v>
      </c>
      <c r="C160" s="10"/>
      <c r="D160" s="10"/>
      <c r="E160" s="10"/>
      <c r="F160" s="10"/>
      <c r="G160" s="10"/>
      <c r="H160" s="67"/>
      <c r="I160" s="36">
        <f t="shared" si="2"/>
        <v>0</v>
      </c>
      <c r="J160" s="36"/>
      <c r="K160" s="36"/>
      <c r="L160" s="10"/>
      <c r="M160" s="145"/>
    </row>
    <row r="161" spans="1:13" ht="12.5">
      <c r="A161" s="56" t="s">
        <v>526</v>
      </c>
      <c r="B161" s="63" t="str">
        <f>HYPERLINK("http://codeforces.com/contest/581/problem/B","CF581-D2-B")</f>
        <v>CF581-D2-B</v>
      </c>
      <c r="C161" s="10"/>
      <c r="D161" s="10"/>
      <c r="E161" s="10"/>
      <c r="F161" s="10"/>
      <c r="G161" s="10"/>
      <c r="H161" s="67"/>
      <c r="I161" s="36">
        <f t="shared" si="2"/>
        <v>0</v>
      </c>
      <c r="J161" s="36"/>
      <c r="K161" s="36"/>
      <c r="L161" s="10"/>
      <c r="M161" s="10"/>
    </row>
    <row r="162" spans="1:13" ht="12.5">
      <c r="A162" s="56"/>
      <c r="B162" s="63"/>
      <c r="C162" s="10"/>
      <c r="D162" s="10"/>
      <c r="E162" s="10"/>
      <c r="F162" s="10"/>
      <c r="G162" s="10"/>
      <c r="H162" s="67"/>
      <c r="I162" s="36">
        <f t="shared" si="2"/>
        <v>0</v>
      </c>
      <c r="J162" s="36"/>
      <c r="K162" s="36"/>
      <c r="L162" s="10"/>
      <c r="M162" s="10"/>
    </row>
    <row r="163" spans="1:13" ht="12.5">
      <c r="A163" s="46" t="s">
        <v>527</v>
      </c>
      <c r="B163" s="130" t="str">
        <f>HYPERLINK("http://codeforces.com/contest/63/problem/B","CF63-D2-B")</f>
        <v>CF63-D2-B</v>
      </c>
      <c r="C163" s="67"/>
      <c r="D163" s="67"/>
      <c r="E163" s="67"/>
      <c r="F163" s="67"/>
      <c r="G163" s="67"/>
      <c r="H163" s="67"/>
      <c r="I163" s="36">
        <f t="shared" si="2"/>
        <v>0</v>
      </c>
      <c r="J163" s="36"/>
      <c r="K163" s="36"/>
      <c r="L163" s="67"/>
      <c r="M163" s="56"/>
    </row>
    <row r="164" spans="1:13" ht="12.5">
      <c r="A164" s="46" t="s">
        <v>528</v>
      </c>
      <c r="B164" s="130" t="str">
        <f>HYPERLINK("http://codeforces.com/contest/629/problem/B","CF629-D2-B")</f>
        <v>CF629-D2-B</v>
      </c>
      <c r="C164" s="67"/>
      <c r="D164" s="67"/>
      <c r="E164" s="67"/>
      <c r="F164" s="67"/>
      <c r="G164" s="67"/>
      <c r="H164" s="67"/>
      <c r="I164" s="36">
        <f t="shared" si="2"/>
        <v>0</v>
      </c>
      <c r="J164" s="36"/>
      <c r="K164" s="36"/>
      <c r="L164" s="67"/>
      <c r="M164" s="56"/>
    </row>
    <row r="165" spans="1:13" ht="12.5">
      <c r="A165" s="46" t="s">
        <v>529</v>
      </c>
      <c r="B165" s="130" t="str">
        <f>HYPERLINK("http://codeforces.com/contest/596/problem/B","CF596-D2-B")</f>
        <v>CF596-D2-B</v>
      </c>
      <c r="C165" s="67"/>
      <c r="D165" s="67"/>
      <c r="E165" s="67"/>
      <c r="F165" s="67"/>
      <c r="G165" s="67"/>
      <c r="H165" s="67"/>
      <c r="I165" s="36">
        <f t="shared" si="2"/>
        <v>0</v>
      </c>
      <c r="J165" s="36"/>
      <c r="K165" s="36"/>
      <c r="L165" s="67"/>
      <c r="M165" s="56"/>
    </row>
    <row r="166" spans="1:13" ht="12.5">
      <c r="A166" s="46" t="s">
        <v>530</v>
      </c>
      <c r="B166" s="130" t="str">
        <f>HYPERLINK("http://codeforces.com/contest/723/problem/B","CF723-D2-B")</f>
        <v>CF723-D2-B</v>
      </c>
      <c r="C166" s="67"/>
      <c r="D166" s="67"/>
      <c r="E166" s="67"/>
      <c r="F166" s="67"/>
      <c r="G166" s="67"/>
      <c r="H166" s="67"/>
      <c r="I166" s="36">
        <f t="shared" si="2"/>
        <v>0</v>
      </c>
      <c r="J166" s="36"/>
      <c r="K166" s="36"/>
      <c r="L166" s="67"/>
      <c r="M166" s="56"/>
    </row>
    <row r="167" spans="1:13" ht="12.5">
      <c r="A167" s="46" t="s">
        <v>531</v>
      </c>
      <c r="B167" s="130" t="str">
        <f>HYPERLINK("http://codeforces.com/contest/431/problem/B","CF431-D2-B")</f>
        <v>CF431-D2-B</v>
      </c>
      <c r="C167" s="67"/>
      <c r="D167" s="67"/>
      <c r="E167" s="67"/>
      <c r="F167" s="67"/>
      <c r="G167" s="67"/>
      <c r="H167" s="67"/>
      <c r="I167" s="36">
        <f t="shared" si="2"/>
        <v>0</v>
      </c>
      <c r="J167" s="36"/>
      <c r="K167" s="36"/>
      <c r="L167" s="67"/>
      <c r="M167" s="56"/>
    </row>
    <row r="168" spans="1:13" ht="12.5">
      <c r="A168" s="46" t="s">
        <v>532</v>
      </c>
      <c r="B168" s="130" t="str">
        <f>HYPERLINK("http://codeforces.com/contest/501/problem/B","CF501-D2-B")</f>
        <v>CF501-D2-B</v>
      </c>
      <c r="C168" s="67"/>
      <c r="D168" s="67"/>
      <c r="E168" s="67"/>
      <c r="F168" s="67"/>
      <c r="G168" s="67"/>
      <c r="H168" s="67"/>
      <c r="I168" s="36">
        <f t="shared" si="2"/>
        <v>0</v>
      </c>
      <c r="J168" s="36"/>
      <c r="K168" s="36"/>
      <c r="L168" s="67"/>
      <c r="M168" s="56"/>
    </row>
    <row r="169" spans="1:13" ht="12.5">
      <c r="A169" s="46" t="s">
        <v>533</v>
      </c>
      <c r="B169" s="130" t="str">
        <f>HYPERLINK("http://codeforces.com/contest/667/problem/B","CF667-D2-B")</f>
        <v>CF667-D2-B</v>
      </c>
      <c r="C169" s="67"/>
      <c r="D169" s="67"/>
      <c r="E169" s="67"/>
      <c r="F169" s="67"/>
      <c r="G169" s="67"/>
      <c r="H169" s="67"/>
      <c r="I169" s="36">
        <f t="shared" si="2"/>
        <v>0</v>
      </c>
      <c r="J169" s="36"/>
      <c r="K169" s="36"/>
      <c r="L169" s="67"/>
      <c r="M169" s="56"/>
    </row>
    <row r="170" spans="1:13" ht="12.5">
      <c r="A170" s="46" t="s">
        <v>534</v>
      </c>
      <c r="B170" s="130" t="str">
        <f>HYPERLINK("http://codeforces.com/contest/136/problem/B","CF136-D2-B")</f>
        <v>CF136-D2-B</v>
      </c>
      <c r="C170" s="67"/>
      <c r="D170" s="67"/>
      <c r="E170" s="67"/>
      <c r="F170" s="67"/>
      <c r="G170" s="67"/>
      <c r="H170" s="67"/>
      <c r="I170" s="36">
        <f t="shared" si="2"/>
        <v>0</v>
      </c>
      <c r="J170" s="36"/>
      <c r="K170" s="36"/>
      <c r="L170" s="67"/>
      <c r="M170" s="56"/>
    </row>
    <row r="171" spans="1:13" ht="12.5">
      <c r="A171" s="56" t="s">
        <v>535</v>
      </c>
      <c r="B171" s="63" t="str">
        <f>HYPERLINK("http://codeforces.com/contest/189/problem/B","CF189-D2-B")</f>
        <v>CF189-D2-B</v>
      </c>
      <c r="C171" s="10"/>
      <c r="D171" s="10"/>
      <c r="E171" s="10"/>
      <c r="F171" s="10"/>
      <c r="G171" s="10"/>
      <c r="H171" s="67"/>
      <c r="I171" s="36">
        <f t="shared" si="2"/>
        <v>0</v>
      </c>
      <c r="J171" s="36"/>
      <c r="K171" s="36"/>
      <c r="L171" s="10"/>
      <c r="M171" s="10"/>
    </row>
    <row r="172" spans="1:13" ht="12.5">
      <c r="A172" s="56" t="s">
        <v>536</v>
      </c>
      <c r="B172" s="63" t="str">
        <f>HYPERLINK("http://codeforces.com/contest/459/problem/B","CF459-D2-B")</f>
        <v>CF459-D2-B</v>
      </c>
      <c r="C172" s="10"/>
      <c r="D172" s="10"/>
      <c r="E172" s="10"/>
      <c r="F172" s="10"/>
      <c r="G172" s="10"/>
      <c r="H172" s="67"/>
      <c r="I172" s="36">
        <f t="shared" si="2"/>
        <v>0</v>
      </c>
      <c r="J172" s="36"/>
      <c r="K172" s="36"/>
      <c r="L172" s="10"/>
      <c r="M172" s="10"/>
    </row>
    <row r="173" spans="1:13" ht="12.5">
      <c r="A173" s="46"/>
      <c r="C173" s="67"/>
      <c r="D173" s="67"/>
      <c r="E173" s="67"/>
      <c r="F173" s="67"/>
      <c r="G173" s="67"/>
      <c r="H173" s="67"/>
      <c r="I173" s="36">
        <f t="shared" si="2"/>
        <v>0</v>
      </c>
      <c r="J173" s="36"/>
      <c r="K173" s="36"/>
      <c r="L173" s="67"/>
      <c r="M173" s="56"/>
    </row>
    <row r="174" spans="1:13" ht="12.5">
      <c r="A174" s="46" t="s">
        <v>537</v>
      </c>
      <c r="B174" s="130" t="str">
        <f>HYPERLINK("http://codeforces.com/contest/592/problem/B","CF592-D2-B")</f>
        <v>CF592-D2-B</v>
      </c>
      <c r="C174" s="67"/>
      <c r="D174" s="67"/>
      <c r="E174" s="67"/>
      <c r="F174" s="67"/>
      <c r="G174" s="67"/>
      <c r="H174" s="67"/>
      <c r="I174" s="36">
        <f t="shared" si="2"/>
        <v>0</v>
      </c>
      <c r="J174" s="36"/>
      <c r="K174" s="36"/>
      <c r="L174" s="67"/>
      <c r="M174" s="56"/>
    </row>
    <row r="175" spans="1:13" ht="12.5">
      <c r="A175" s="46" t="s">
        <v>538</v>
      </c>
      <c r="B175" s="130" t="str">
        <f>HYPERLINK("http://codeforces.com/contest/365/problem/B","CF365-D2-B")</f>
        <v>CF365-D2-B</v>
      </c>
      <c r="C175" s="67"/>
      <c r="D175" s="67"/>
      <c r="E175" s="67"/>
      <c r="F175" s="67"/>
      <c r="G175" s="67"/>
      <c r="H175" s="67"/>
      <c r="I175" s="36">
        <f t="shared" si="2"/>
        <v>0</v>
      </c>
      <c r="J175" s="36"/>
      <c r="K175" s="36"/>
      <c r="L175" s="67"/>
      <c r="M175" s="56"/>
    </row>
    <row r="176" spans="1:13" ht="12.5">
      <c r="A176" s="46" t="s">
        <v>539</v>
      </c>
      <c r="B176" s="130" t="str">
        <f>HYPERLINK("http://codeforces.com/contest/705/problem/B","CF705-D2-B")</f>
        <v>CF705-D2-B</v>
      </c>
      <c r="C176" s="67"/>
      <c r="D176" s="67"/>
      <c r="E176" s="67"/>
      <c r="F176" s="67"/>
      <c r="G176" s="67"/>
      <c r="H176" s="67"/>
      <c r="I176" s="36">
        <f t="shared" si="2"/>
        <v>0</v>
      </c>
      <c r="J176" s="36"/>
      <c r="K176" s="36"/>
      <c r="L176" s="67"/>
      <c r="M176" s="56"/>
    </row>
    <row r="177" spans="1:13" ht="12.5">
      <c r="A177" s="46" t="s">
        <v>540</v>
      </c>
      <c r="B177" s="130" t="str">
        <f>HYPERLINK("http://codeforces.com/contest/686/problem/B","CF686-D2-B")</f>
        <v>CF686-D2-B</v>
      </c>
      <c r="C177" s="67"/>
      <c r="D177" s="67"/>
      <c r="E177" s="67"/>
      <c r="F177" s="67"/>
      <c r="G177" s="67"/>
      <c r="H177" s="67"/>
      <c r="I177" s="36">
        <f t="shared" si="2"/>
        <v>0</v>
      </c>
      <c r="J177" s="36"/>
      <c r="K177" s="36"/>
      <c r="L177" s="67"/>
      <c r="M177" s="56"/>
    </row>
    <row r="178" spans="1:13" ht="12.5">
      <c r="A178" s="46" t="s">
        <v>541</v>
      </c>
      <c r="B178" s="130" t="str">
        <f>HYPERLINK("http://codeforces.com/contest/133/problem/B","CF133-D2-B")</f>
        <v>CF133-D2-B</v>
      </c>
      <c r="C178" s="67"/>
      <c r="D178" s="67"/>
      <c r="E178" s="67"/>
      <c r="F178" s="67"/>
      <c r="G178" s="67"/>
      <c r="H178" s="67"/>
      <c r="I178" s="36">
        <f t="shared" si="2"/>
        <v>0</v>
      </c>
      <c r="J178" s="36"/>
      <c r="K178" s="36"/>
      <c r="L178" s="67"/>
      <c r="M178" s="56"/>
    </row>
    <row r="179" spans="1:13" ht="12.5">
      <c r="A179" s="46" t="s">
        <v>542</v>
      </c>
      <c r="B179" s="130" t="str">
        <f>HYPERLINK("http://codeforces.com/contest/127/problem/B","CF127-D2-B")</f>
        <v>CF127-D2-B</v>
      </c>
      <c r="C179" s="67"/>
      <c r="D179" s="67"/>
      <c r="E179" s="67"/>
      <c r="F179" s="67"/>
      <c r="G179" s="67"/>
      <c r="H179" s="67"/>
      <c r="I179" s="36">
        <f t="shared" si="2"/>
        <v>0</v>
      </c>
      <c r="J179" s="36"/>
      <c r="K179" s="36"/>
      <c r="L179" s="67"/>
      <c r="M179" s="56"/>
    </row>
    <row r="180" spans="1:13" ht="12.5">
      <c r="A180" s="46" t="s">
        <v>543</v>
      </c>
      <c r="B180" s="130" t="str">
        <f>HYPERLINK("http://codeforces.com/contest/554/problem/B","CF554-D2-B")</f>
        <v>CF554-D2-B</v>
      </c>
      <c r="C180" s="67"/>
      <c r="D180" s="67"/>
      <c r="E180" s="67"/>
      <c r="F180" s="67"/>
      <c r="G180" s="67"/>
      <c r="H180" s="67"/>
      <c r="I180" s="36">
        <f t="shared" si="2"/>
        <v>0</v>
      </c>
      <c r="J180" s="36"/>
      <c r="K180" s="36"/>
      <c r="L180" s="67"/>
      <c r="M180" s="56"/>
    </row>
    <row r="181" spans="1:13" ht="12.5">
      <c r="A181" s="46" t="s">
        <v>544</v>
      </c>
      <c r="B181" s="130" t="str">
        <f>HYPERLINK("http://codeforces.com/contest/408/problem/B","CF408-D2-B")</f>
        <v>CF408-D2-B</v>
      </c>
      <c r="C181" s="67"/>
      <c r="D181" s="67"/>
      <c r="E181" s="67"/>
      <c r="F181" s="67"/>
      <c r="G181" s="67"/>
      <c r="H181" s="67"/>
      <c r="I181" s="36">
        <f t="shared" si="2"/>
        <v>0</v>
      </c>
      <c r="J181" s="36"/>
      <c r="K181" s="36"/>
      <c r="L181" s="67"/>
      <c r="M181" s="56"/>
    </row>
    <row r="182" spans="1:13" ht="12.5">
      <c r="A182" s="46" t="s">
        <v>545</v>
      </c>
      <c r="B182" s="130" t="str">
        <f>HYPERLINK("http://codeforces.com/contest/362/problem/B","CF362-D2-B")</f>
        <v>CF362-D2-B</v>
      </c>
      <c r="C182" s="67"/>
      <c r="D182" s="67"/>
      <c r="E182" s="67"/>
      <c r="F182" s="67"/>
      <c r="G182" s="67"/>
      <c r="H182" s="67"/>
      <c r="I182" s="36">
        <f t="shared" si="2"/>
        <v>0</v>
      </c>
      <c r="J182" s="36"/>
      <c r="K182" s="36"/>
      <c r="L182" s="67"/>
      <c r="M182" s="56"/>
    </row>
    <row r="183" spans="1:13" ht="12.5">
      <c r="A183" s="46" t="s">
        <v>546</v>
      </c>
      <c r="B183" s="130" t="str">
        <f>HYPERLINK("http://codeforces.com/contest/545/problem/B","CF545-D2-B")</f>
        <v>CF545-D2-B</v>
      </c>
      <c r="C183" s="67"/>
      <c r="D183" s="67"/>
      <c r="E183" s="67"/>
      <c r="F183" s="67"/>
      <c r="G183" s="67"/>
      <c r="H183" s="67"/>
      <c r="I183" s="36">
        <f t="shared" si="2"/>
        <v>0</v>
      </c>
      <c r="J183" s="36"/>
      <c r="K183" s="36"/>
      <c r="L183" s="67"/>
      <c r="M183" s="56"/>
    </row>
    <row r="184" spans="1:13" ht="12.5">
      <c r="A184" s="56" t="s">
        <v>547</v>
      </c>
      <c r="B184" s="63" t="str">
        <f>HYPERLINK("http://codeforces.com/contest/677/problem/B","CF677-D2-B")</f>
        <v>CF677-D2-B</v>
      </c>
      <c r="C184" s="10"/>
      <c r="D184" s="10"/>
      <c r="E184" s="10"/>
      <c r="F184" s="10"/>
      <c r="G184" s="10"/>
      <c r="H184" s="67"/>
      <c r="I184" s="36">
        <f t="shared" si="2"/>
        <v>0</v>
      </c>
      <c r="J184" s="36"/>
      <c r="K184" s="36"/>
      <c r="L184" s="10"/>
      <c r="M184" s="10"/>
    </row>
    <row r="185" spans="1:13" ht="12.5">
      <c r="A185" s="56" t="s">
        <v>548</v>
      </c>
      <c r="B185" s="63" t="str">
        <f>HYPERLINK("http://codeforces.com/contest/304/problem/B","CF304-D2-B")</f>
        <v>CF304-D2-B</v>
      </c>
      <c r="C185" s="10"/>
      <c r="D185" s="10"/>
      <c r="E185" s="10"/>
      <c r="F185" s="10"/>
      <c r="G185" s="10"/>
      <c r="H185" s="67"/>
      <c r="I185" s="36">
        <f t="shared" si="2"/>
        <v>0</v>
      </c>
      <c r="J185" s="36"/>
      <c r="K185" s="36"/>
      <c r="L185" s="10"/>
      <c r="M185" s="10"/>
    </row>
    <row r="186" spans="1:13" ht="12.5">
      <c r="A186" s="56" t="s">
        <v>549</v>
      </c>
      <c r="B186" s="63" t="str">
        <f>HYPERLINK("http://codeforces.com/contest/507/problem/B","CF507-D2-B")</f>
        <v>CF507-D2-B</v>
      </c>
      <c r="C186" s="10"/>
      <c r="D186" s="10"/>
      <c r="E186" s="10"/>
      <c r="F186" s="10"/>
      <c r="G186" s="10"/>
      <c r="H186" s="67"/>
      <c r="I186" s="36">
        <f t="shared" si="2"/>
        <v>0</v>
      </c>
      <c r="J186" s="36"/>
      <c r="K186" s="36"/>
      <c r="L186" s="10"/>
      <c r="M186" s="10"/>
    </row>
    <row r="187" spans="1:13" ht="12.5">
      <c r="A187" s="56" t="s">
        <v>550</v>
      </c>
      <c r="B187" s="63" t="str">
        <f>HYPERLINK("http://codeforces.com/contest/289/problem/B","CF289-D2-B")</f>
        <v>CF289-D2-B</v>
      </c>
      <c r="C187" s="10"/>
      <c r="D187" s="10"/>
      <c r="E187" s="10"/>
      <c r="F187" s="10"/>
      <c r="G187" s="10"/>
      <c r="H187" s="67"/>
      <c r="I187" s="36">
        <f t="shared" si="2"/>
        <v>0</v>
      </c>
      <c r="J187" s="36"/>
      <c r="K187" s="36"/>
      <c r="L187" s="10"/>
      <c r="M187" s="10"/>
    </row>
    <row r="188" spans="1:13" ht="12.5">
      <c r="A188" s="46"/>
      <c r="C188" s="67"/>
      <c r="D188" s="67"/>
      <c r="E188" s="67"/>
      <c r="F188" s="67"/>
      <c r="G188" s="67"/>
      <c r="H188" s="67"/>
      <c r="I188" s="36">
        <f t="shared" si="2"/>
        <v>0</v>
      </c>
      <c r="J188" s="36"/>
      <c r="K188" s="36"/>
      <c r="L188" s="67"/>
      <c r="M188" s="56"/>
    </row>
    <row r="189" spans="1:13" ht="12.5">
      <c r="A189" s="46" t="s">
        <v>551</v>
      </c>
      <c r="B189" s="130" t="str">
        <f>HYPERLINK("http://codeforces.com/contest/387/problem/B","CF387-D2-B")</f>
        <v>CF387-D2-B</v>
      </c>
      <c r="C189" s="67"/>
      <c r="D189" s="67"/>
      <c r="E189" s="67"/>
      <c r="F189" s="67"/>
      <c r="G189" s="67"/>
      <c r="H189" s="67"/>
      <c r="I189" s="36">
        <f t="shared" si="2"/>
        <v>0</v>
      </c>
      <c r="J189" s="36"/>
      <c r="K189" s="36"/>
      <c r="L189" s="67"/>
      <c r="M189" s="56"/>
    </row>
    <row r="190" spans="1:13" ht="12.5">
      <c r="A190" s="46" t="s">
        <v>552</v>
      </c>
      <c r="B190" s="130" t="str">
        <f>HYPERLINK("http://codeforces.com/contest/740/problem/B","CF740-D2-B")</f>
        <v>CF740-D2-B</v>
      </c>
      <c r="C190" s="67"/>
      <c r="D190" s="67"/>
      <c r="E190" s="67"/>
      <c r="F190" s="67"/>
      <c r="G190" s="67"/>
      <c r="H190" s="67"/>
      <c r="I190" s="36">
        <f t="shared" si="2"/>
        <v>0</v>
      </c>
      <c r="J190" s="36"/>
      <c r="K190" s="36"/>
      <c r="L190" s="67"/>
      <c r="M190" s="56"/>
    </row>
    <row r="191" spans="1:13" ht="12.5">
      <c r="A191" s="46" t="s">
        <v>553</v>
      </c>
      <c r="B191" s="130" t="str">
        <f>HYPERLINK("http://codeforces.com/contest/735/problem/B","CF735-D2-B")</f>
        <v>CF735-D2-B</v>
      </c>
      <c r="C191" s="67"/>
      <c r="D191" s="67"/>
      <c r="E191" s="67"/>
      <c r="F191" s="67"/>
      <c r="G191" s="67"/>
      <c r="H191" s="67"/>
      <c r="I191" s="36">
        <f t="shared" si="2"/>
        <v>0</v>
      </c>
      <c r="J191" s="36"/>
      <c r="K191" s="36"/>
      <c r="L191" s="67"/>
      <c r="M191" s="56"/>
    </row>
    <row r="192" spans="1:13" ht="12.5">
      <c r="A192" s="46" t="s">
        <v>554</v>
      </c>
      <c r="B192" s="130" t="str">
        <f>HYPERLINK("http://codeforces.com/contest/104/problem/B","CF104-D2-B")</f>
        <v>CF104-D2-B</v>
      </c>
      <c r="C192" s="67"/>
      <c r="D192" s="67"/>
      <c r="E192" s="67"/>
      <c r="F192" s="67"/>
      <c r="G192" s="67"/>
      <c r="H192" s="67"/>
      <c r="I192" s="36">
        <f t="shared" si="2"/>
        <v>0</v>
      </c>
      <c r="J192" s="36"/>
      <c r="K192" s="36"/>
      <c r="L192" s="67"/>
      <c r="M192" s="56"/>
    </row>
    <row r="193" spans="1:13" ht="12.5">
      <c r="A193" s="46" t="s">
        <v>555</v>
      </c>
      <c r="B193" s="130" t="str">
        <f>HYPERLINK("http://codeforces.com/contest/701/problem/B","CF701-D2-B")</f>
        <v>CF701-D2-B</v>
      </c>
      <c r="C193" s="67"/>
      <c r="D193" s="67"/>
      <c r="E193" s="67"/>
      <c r="F193" s="67"/>
      <c r="G193" s="67"/>
      <c r="H193" s="67"/>
      <c r="I193" s="36">
        <f t="shared" si="2"/>
        <v>0</v>
      </c>
      <c r="J193" s="36"/>
      <c r="K193" s="36"/>
      <c r="L193" s="67"/>
      <c r="M193" s="56"/>
    </row>
    <row r="194" spans="1:13" ht="12.5">
      <c r="A194" s="46" t="s">
        <v>556</v>
      </c>
      <c r="B194" s="130" t="str">
        <f>HYPERLINK("http://codeforces.com/contest/552/problem/B","CF552-D2-B")</f>
        <v>CF552-D2-B</v>
      </c>
      <c r="C194" s="67"/>
      <c r="D194" s="67"/>
      <c r="E194" s="67"/>
      <c r="F194" s="67"/>
      <c r="G194" s="67"/>
      <c r="H194" s="67"/>
      <c r="I194" s="36">
        <f t="shared" si="2"/>
        <v>0</v>
      </c>
      <c r="J194" s="36"/>
      <c r="K194" s="36"/>
      <c r="L194" s="67"/>
      <c r="M194" s="56"/>
    </row>
    <row r="195" spans="1:13" ht="12.5">
      <c r="A195" s="46" t="s">
        <v>557</v>
      </c>
      <c r="B195" s="130" t="str">
        <f>HYPERLINK("http://codeforces.com/contest/474/problem/B","CF474-D2-B")</f>
        <v>CF474-D2-B</v>
      </c>
      <c r="C195" s="67"/>
      <c r="D195" s="67"/>
      <c r="E195" s="67"/>
      <c r="F195" s="67"/>
      <c r="G195" s="67"/>
      <c r="H195" s="67"/>
      <c r="I195" s="36">
        <f t="shared" si="2"/>
        <v>0</v>
      </c>
      <c r="J195" s="36"/>
      <c r="K195" s="36"/>
      <c r="L195" s="67"/>
      <c r="M195" s="56"/>
    </row>
    <row r="196" spans="1:13" ht="12.5">
      <c r="A196" s="46" t="s">
        <v>558</v>
      </c>
      <c r="B196" s="130" t="str">
        <f>HYPERLINK("http://codeforces.com/contest/59/problem/B","CF59-D2-B")</f>
        <v>CF59-D2-B</v>
      </c>
      <c r="C196" s="67"/>
      <c r="D196" s="67"/>
      <c r="E196" s="67"/>
      <c r="F196" s="67"/>
      <c r="G196" s="67"/>
      <c r="H196" s="67"/>
      <c r="I196" s="36">
        <f t="shared" si="2"/>
        <v>0</v>
      </c>
      <c r="J196" s="36"/>
      <c r="K196" s="36"/>
      <c r="L196" s="67"/>
      <c r="M196" s="56"/>
    </row>
    <row r="197" spans="1:13" ht="12.5">
      <c r="A197" s="46"/>
      <c r="C197" s="67"/>
      <c r="D197" s="67"/>
      <c r="E197" s="67"/>
      <c r="F197" s="67"/>
      <c r="G197" s="67"/>
      <c r="H197" s="67"/>
      <c r="I197" s="36">
        <f t="shared" si="2"/>
        <v>0</v>
      </c>
      <c r="J197" s="36"/>
      <c r="K197" s="36"/>
      <c r="L197" s="67"/>
      <c r="M197" s="56"/>
    </row>
    <row r="198" spans="1:13" ht="12.5">
      <c r="A198" s="46" t="s">
        <v>559</v>
      </c>
      <c r="B198" s="130" t="str">
        <f>HYPERLINK("http://codeforces.com/contest/192/problem/B","CF192-D2-B")</f>
        <v>CF192-D2-B</v>
      </c>
      <c r="C198" s="67"/>
      <c r="D198" s="67"/>
      <c r="E198" s="67"/>
      <c r="F198" s="67"/>
      <c r="G198" s="67"/>
      <c r="H198" s="67"/>
      <c r="I198" s="36">
        <f t="shared" si="2"/>
        <v>0</v>
      </c>
      <c r="J198" s="36"/>
      <c r="K198" s="36"/>
      <c r="L198" s="67"/>
      <c r="M198" s="56"/>
    </row>
    <row r="199" spans="1:13" ht="12.5">
      <c r="A199" s="46" t="s">
        <v>560</v>
      </c>
      <c r="B199" s="130" t="str">
        <f>HYPERLINK("http://codeforces.com/contest/366/problem/B","CF366-D2-B")</f>
        <v>CF366-D2-B</v>
      </c>
      <c r="C199" s="67"/>
      <c r="D199" s="67"/>
      <c r="E199" s="67"/>
      <c r="F199" s="67"/>
      <c r="G199" s="67"/>
      <c r="H199" s="67"/>
      <c r="I199" s="36">
        <f t="shared" si="2"/>
        <v>0</v>
      </c>
      <c r="J199" s="36"/>
      <c r="K199" s="36"/>
      <c r="L199" s="67"/>
      <c r="M199" s="56"/>
    </row>
    <row r="200" spans="1:13" ht="12.5">
      <c r="A200" s="46" t="s">
        <v>561</v>
      </c>
      <c r="B200" s="130" t="str">
        <f>HYPERLINK("http://codeforces.com/contest/298/problem/B","CF298-D2-B")</f>
        <v>CF298-D2-B</v>
      </c>
      <c r="C200" s="67"/>
      <c r="D200" s="67"/>
      <c r="E200" s="67"/>
      <c r="F200" s="67"/>
      <c r="G200" s="67"/>
      <c r="H200" s="67"/>
      <c r="I200" s="36">
        <f t="shared" si="2"/>
        <v>0</v>
      </c>
      <c r="J200" s="36"/>
      <c r="K200" s="36"/>
      <c r="L200" s="67"/>
      <c r="M200" s="56"/>
    </row>
    <row r="201" spans="1:13" ht="12.5">
      <c r="A201" s="46" t="s">
        <v>562</v>
      </c>
      <c r="B201" s="130" t="str">
        <f>HYPERLINK("http://codeforces.com/contest/389/problem/B","CF389-D2-B")</f>
        <v>CF389-D2-B</v>
      </c>
      <c r="C201" s="67"/>
      <c r="D201" s="67"/>
      <c r="E201" s="67"/>
      <c r="F201" s="67"/>
      <c r="G201" s="67"/>
      <c r="H201" s="67"/>
      <c r="I201" s="36">
        <f t="shared" si="2"/>
        <v>0</v>
      </c>
      <c r="J201" s="36"/>
      <c r="K201" s="36"/>
      <c r="L201" s="67"/>
      <c r="M201" s="56"/>
    </row>
    <row r="202" spans="1:13" ht="12.5">
      <c r="A202" s="46" t="s">
        <v>563</v>
      </c>
      <c r="B202" s="130" t="str">
        <f>HYPERLINK("http://codeforces.com/contest/591/problem/B","CF591-D2-B")</f>
        <v>CF591-D2-B</v>
      </c>
      <c r="C202" s="67"/>
      <c r="D202" s="67"/>
      <c r="E202" s="67"/>
      <c r="F202" s="67"/>
      <c r="G202" s="67"/>
      <c r="H202" s="67"/>
      <c r="I202" s="36">
        <f t="shared" si="2"/>
        <v>0</v>
      </c>
      <c r="J202" s="36"/>
      <c r="K202" s="36"/>
      <c r="L202" s="67"/>
      <c r="M202" s="56"/>
    </row>
    <row r="203" spans="1:13" ht="12.5">
      <c r="A203" s="46" t="s">
        <v>564</v>
      </c>
      <c r="B203" s="130" t="str">
        <f>HYPERLINK("http://codeforces.com/contest/246/problem/B","CF246-D2-B")</f>
        <v>CF246-D2-B</v>
      </c>
      <c r="C203" s="67"/>
      <c r="D203" s="67"/>
      <c r="E203" s="67"/>
      <c r="F203" s="67"/>
      <c r="G203" s="67"/>
      <c r="H203" s="67"/>
      <c r="I203" s="36">
        <f t="shared" si="2"/>
        <v>0</v>
      </c>
      <c r="J203" s="36"/>
      <c r="K203" s="36"/>
      <c r="L203" s="67"/>
      <c r="M203" s="56"/>
    </row>
    <row r="204" spans="1:13" ht="12.5">
      <c r="A204" s="46" t="s">
        <v>565</v>
      </c>
      <c r="B204" s="130" t="str">
        <f>HYPERLINK("http://codeforces.com/contest/682/problem/B","CF682-D2-B")</f>
        <v>CF682-D2-B</v>
      </c>
      <c r="C204" s="67"/>
      <c r="D204" s="67"/>
      <c r="E204" s="67"/>
      <c r="F204" s="67"/>
      <c r="G204" s="67"/>
      <c r="H204" s="67"/>
      <c r="I204" s="36">
        <f t="shared" si="2"/>
        <v>0</v>
      </c>
      <c r="J204" s="36"/>
      <c r="K204" s="36"/>
      <c r="L204" s="67"/>
      <c r="M204" s="56"/>
    </row>
    <row r="205" spans="1:13" ht="12.5">
      <c r="A205" s="46" t="s">
        <v>401</v>
      </c>
      <c r="B205" s="130" t="str">
        <f>HYPERLINK("http://codeforces.com/contest/58/problem/B","CF58-D2-B")</f>
        <v>CF58-D2-B</v>
      </c>
      <c r="C205" s="67"/>
      <c r="D205" s="67"/>
      <c r="E205" s="67"/>
      <c r="F205" s="67"/>
      <c r="G205" s="67"/>
      <c r="H205" s="67"/>
      <c r="I205" s="36">
        <f t="shared" si="2"/>
        <v>0</v>
      </c>
      <c r="J205" s="36"/>
      <c r="K205" s="36"/>
      <c r="L205" s="67"/>
      <c r="M205" s="56"/>
    </row>
    <row r="206" spans="1:13" ht="12.5">
      <c r="A206" s="46" t="s">
        <v>566</v>
      </c>
      <c r="B206" s="130" t="str">
        <f>HYPERLINK("http://codeforces.com/contest/567/problem/B","CF567-D2-B")</f>
        <v>CF567-D2-B</v>
      </c>
      <c r="C206" s="67"/>
      <c r="D206" s="67"/>
      <c r="E206" s="67"/>
      <c r="F206" s="67"/>
      <c r="G206" s="67"/>
      <c r="H206" s="67"/>
      <c r="I206" s="36">
        <f t="shared" si="2"/>
        <v>0</v>
      </c>
      <c r="J206" s="36"/>
      <c r="K206" s="36"/>
      <c r="L206" s="67"/>
      <c r="M206" s="56"/>
    </row>
    <row r="207" spans="1:13" ht="12.5">
      <c r="A207" s="46" t="s">
        <v>567</v>
      </c>
      <c r="B207" s="130" t="str">
        <f>HYPERLINK("http://codeforces.com/contest/416/problem/B","CF416-D2-B")</f>
        <v>CF416-D2-B</v>
      </c>
      <c r="C207" s="67"/>
      <c r="D207" s="67"/>
      <c r="E207" s="67"/>
      <c r="F207" s="67"/>
      <c r="G207" s="67"/>
      <c r="H207" s="67"/>
      <c r="I207" s="36">
        <f t="shared" si="2"/>
        <v>0</v>
      </c>
      <c r="J207" s="36"/>
      <c r="K207" s="36"/>
      <c r="L207" s="67"/>
      <c r="M207" s="56"/>
    </row>
    <row r="208" spans="1:13" ht="12.5">
      <c r="A208" s="46"/>
      <c r="C208" s="67"/>
      <c r="D208" s="67"/>
      <c r="E208" s="67"/>
      <c r="F208" s="67"/>
      <c r="G208" s="67"/>
      <c r="H208" s="67"/>
      <c r="I208" s="36">
        <f t="shared" si="2"/>
        <v>0</v>
      </c>
      <c r="J208" s="36"/>
      <c r="K208" s="36"/>
      <c r="L208" s="67"/>
      <c r="M208" s="56"/>
    </row>
    <row r="209" spans="1:13" ht="12.5">
      <c r="A209" s="46" t="s">
        <v>568</v>
      </c>
      <c r="B209" s="130" t="str">
        <f>HYPERLINK("http://codeforces.com/contest/489/problem/B","CF489-D2-B")</f>
        <v>CF489-D2-B</v>
      </c>
      <c r="C209" s="67"/>
      <c r="D209" s="67"/>
      <c r="E209" s="67"/>
      <c r="F209" s="67"/>
      <c r="G209" s="67"/>
      <c r="H209" s="67"/>
      <c r="I209" s="36">
        <f t="shared" si="2"/>
        <v>0</v>
      </c>
      <c r="J209" s="36"/>
      <c r="K209" s="36"/>
      <c r="L209" s="67"/>
      <c r="M209" s="56"/>
    </row>
    <row r="210" spans="1:13" ht="12.5">
      <c r="A210" s="46" t="s">
        <v>569</v>
      </c>
      <c r="B210" s="130" t="str">
        <f>HYPERLINK("http://codeforces.com/contest/478/problem/B","CF478-D2-B")</f>
        <v>CF478-D2-B</v>
      </c>
      <c r="C210" s="67"/>
      <c r="D210" s="67"/>
      <c r="E210" s="67"/>
      <c r="F210" s="67"/>
      <c r="G210" s="67"/>
      <c r="H210" s="67"/>
      <c r="I210" s="36">
        <f t="shared" si="2"/>
        <v>0</v>
      </c>
      <c r="J210" s="36"/>
      <c r="K210" s="36"/>
      <c r="L210" s="67"/>
      <c r="M210" s="56"/>
    </row>
    <row r="211" spans="1:13" ht="12.5">
      <c r="A211" s="46" t="s">
        <v>570</v>
      </c>
      <c r="B211" s="130" t="str">
        <f>HYPERLINK("http://codeforces.com/contest/94/problem/B","CF94-D2-B")</f>
        <v>CF94-D2-B</v>
      </c>
      <c r="C211" s="67"/>
      <c r="D211" s="67"/>
      <c r="E211" s="67"/>
      <c r="F211" s="67"/>
      <c r="G211" s="67"/>
      <c r="H211" s="67"/>
      <c r="I211" s="36">
        <f t="shared" si="2"/>
        <v>0</v>
      </c>
      <c r="J211" s="36"/>
      <c r="K211" s="36"/>
      <c r="L211" s="67"/>
      <c r="M211" s="56"/>
    </row>
    <row r="212" spans="1:13" ht="12.5">
      <c r="A212" s="46" t="s">
        <v>571</v>
      </c>
      <c r="B212" s="130" t="str">
        <f>HYPERLINK("http://codeforces.com/contest/625/problem/B","CF625-D2-B")</f>
        <v>CF625-D2-B</v>
      </c>
      <c r="C212" s="67"/>
      <c r="D212" s="67"/>
      <c r="E212" s="67"/>
      <c r="F212" s="67"/>
      <c r="G212" s="67"/>
      <c r="H212" s="67"/>
      <c r="I212" s="36">
        <f t="shared" si="2"/>
        <v>0</v>
      </c>
      <c r="J212" s="36"/>
      <c r="K212" s="36"/>
      <c r="L212" s="67"/>
      <c r="M212" s="56"/>
    </row>
    <row r="213" spans="1:13" ht="12.5">
      <c r="A213" s="46" t="s">
        <v>572</v>
      </c>
      <c r="B213" s="130" t="str">
        <f>HYPERLINK("http://codeforces.com/contest/330/problem/B","CF330-D2-B")</f>
        <v>CF330-D2-B</v>
      </c>
      <c r="C213" s="67"/>
      <c r="D213" s="67"/>
      <c r="E213" s="67"/>
      <c r="F213" s="67"/>
      <c r="G213" s="67"/>
      <c r="H213" s="67"/>
      <c r="I213" s="36">
        <f t="shared" si="2"/>
        <v>0</v>
      </c>
      <c r="J213" s="36"/>
      <c r="K213" s="36"/>
      <c r="L213" s="67"/>
      <c r="M213" s="56"/>
    </row>
    <row r="214" spans="1:13" ht="12.5">
      <c r="A214" s="46" t="s">
        <v>573</v>
      </c>
      <c r="B214" s="130" t="str">
        <f>HYPERLINK("http://codeforces.com/contest/92/problem/B","CF92-D2-B")</f>
        <v>CF92-D2-B</v>
      </c>
      <c r="C214" s="67"/>
      <c r="D214" s="67"/>
      <c r="E214" s="67"/>
      <c r="F214" s="67"/>
      <c r="G214" s="67"/>
      <c r="H214" s="67"/>
      <c r="I214" s="36">
        <f t="shared" si="2"/>
        <v>0</v>
      </c>
      <c r="J214" s="36"/>
      <c r="K214" s="36"/>
      <c r="L214" s="67"/>
      <c r="M214" s="56"/>
    </row>
    <row r="215" spans="1:13" ht="12.5">
      <c r="A215" s="46" t="s">
        <v>574</v>
      </c>
      <c r="B215" s="130" t="str">
        <f>HYPERLINK("http://codeforces.com/contest/4/problem/B","CF4-D2-B")</f>
        <v>CF4-D2-B</v>
      </c>
      <c r="C215" s="67"/>
      <c r="D215" s="67"/>
      <c r="E215" s="67"/>
      <c r="F215" s="67"/>
      <c r="G215" s="67"/>
      <c r="H215" s="67"/>
      <c r="I215" s="36">
        <f t="shared" si="2"/>
        <v>0</v>
      </c>
      <c r="J215" s="36"/>
      <c r="K215" s="36"/>
      <c r="L215" s="67"/>
      <c r="M215" s="56"/>
    </row>
    <row r="216" spans="1:13" ht="12.5">
      <c r="A216" s="46" t="s">
        <v>575</v>
      </c>
      <c r="B216" s="130" t="str">
        <f>HYPERLINK("http://codeforces.com/contest/9/problem/B","CF9-D2-B")</f>
        <v>CF9-D2-B</v>
      </c>
      <c r="C216" s="67"/>
      <c r="D216" s="67"/>
      <c r="E216" s="67"/>
      <c r="F216" s="67"/>
      <c r="G216" s="67"/>
      <c r="H216" s="67"/>
      <c r="I216" s="36">
        <f t="shared" si="2"/>
        <v>0</v>
      </c>
      <c r="J216" s="36"/>
      <c r="K216" s="36"/>
      <c r="L216" s="67"/>
      <c r="M216" s="56"/>
    </row>
    <row r="217" spans="1:13" ht="12.5">
      <c r="A217" s="46" t="s">
        <v>576</v>
      </c>
      <c r="B217" s="130" t="str">
        <f>HYPERLINK("http://codeforces.com/contest/508/problem/B","CF508-D2-B")</f>
        <v>CF508-D2-B</v>
      </c>
      <c r="C217" s="67"/>
      <c r="D217" s="67"/>
      <c r="E217" s="67"/>
      <c r="F217" s="67"/>
      <c r="G217" s="67"/>
      <c r="H217" s="67"/>
      <c r="I217" s="36">
        <f t="shared" si="2"/>
        <v>0</v>
      </c>
      <c r="J217" s="36"/>
      <c r="K217" s="36"/>
      <c r="L217" s="67"/>
      <c r="M217" s="56"/>
    </row>
    <row r="218" spans="1:13" ht="12.5">
      <c r="A218" s="46" t="s">
        <v>577</v>
      </c>
      <c r="B218" s="130" t="str">
        <f>HYPERLINK("http://codeforces.com/contest/151/problem/B","CF151-D2-B")</f>
        <v>CF151-D2-B</v>
      </c>
      <c r="C218" s="67"/>
      <c r="D218" s="67"/>
      <c r="E218" s="67"/>
      <c r="F218" s="67"/>
      <c r="G218" s="67"/>
      <c r="H218" s="67"/>
      <c r="I218" s="36">
        <f t="shared" si="2"/>
        <v>0</v>
      </c>
      <c r="J218" s="36"/>
      <c r="K218" s="36"/>
      <c r="L218" s="67"/>
      <c r="M218" s="56"/>
    </row>
  </sheetData>
  <mergeCells count="2">
    <mergeCell ref="D135:G135"/>
    <mergeCell ref="J135:M135"/>
  </mergeCells>
  <conditionalFormatting sqref="C3:C218 D133 C240:C291">
    <cfRule type="cellIs" dxfId="71" priority="4" operator="equal">
      <formula>"AC"</formula>
    </cfRule>
  </conditionalFormatting>
  <conditionalFormatting sqref="C3:C218 D133">
    <cfRule type="containsText" dxfId="70" priority="5" operator="containsText" text="WA">
      <formula>NOT(ISERROR(SEARCH(("WA"),(C3))))</formula>
    </cfRule>
    <cfRule type="containsText" dxfId="69" priority="7" operator="containsText" text="TLE">
      <formula>NOT(ISERROR(SEARCH(("TLE"),(C3))))</formula>
    </cfRule>
    <cfRule type="containsText" dxfId="68" priority="9" operator="containsText" text="RTE">
      <formula>NOT(ISERROR(SEARCH(("RTE"),(C3))))</formula>
    </cfRule>
    <cfRule type="containsText" dxfId="67" priority="11" operator="containsText" text="CS">
      <formula>NOT(ISERROR(SEARCH(("CS"),(C3))))</formula>
    </cfRule>
  </conditionalFormatting>
  <conditionalFormatting sqref="C240:C291">
    <cfRule type="containsText" dxfId="66" priority="6" operator="containsText" text="WA">
      <formula>NOT(ISERROR(SEARCH(("WA"),(C240))))</formula>
    </cfRule>
    <cfRule type="containsText" dxfId="65" priority="8" operator="containsText" text="TLE">
      <formula>NOT(ISERROR(SEARCH(("TLE"),(C240))))</formula>
    </cfRule>
    <cfRule type="containsText" dxfId="64" priority="10" operator="containsText" text="RTE">
      <formula>NOT(ISERROR(SEARCH(("RTE"),(C240))))</formula>
    </cfRule>
    <cfRule type="containsText" dxfId="63" priority="12" operator="containsText" text="CS">
      <formula>NOT(ISERROR(SEARCH(("CS"),(C240))))</formula>
    </cfRule>
  </conditionalFormatting>
  <conditionalFormatting sqref="K3:K133 K137:K218">
    <cfRule type="cellIs" dxfId="62" priority="1" operator="equal">
      <formula>"No"</formula>
    </cfRule>
    <cfRule type="cellIs" dxfId="61" priority="2" operator="equal">
      <formula>"no"</formula>
    </cfRule>
    <cfRule type="cellIs" dxfId="60" priority="3" operator="equal">
      <formula>"NO"</formula>
    </cfRule>
  </conditionalFormatting>
  <hyperlinks>
    <hyperlink ref="M5" r:id="rId1" xr:uid="{00000000-0004-0000-0300-000000000000}"/>
    <hyperlink ref="B44" r:id="rId2" xr:uid="{00000000-0004-0000-0300-000001000000}"/>
    <hyperlink ref="M44" r:id="rId3" xr:uid="{00000000-0004-0000-0300-000002000000}"/>
    <hyperlink ref="B45" r:id="rId4" xr:uid="{00000000-0004-0000-0300-000003000000}"/>
    <hyperlink ref="M56" r:id="rId5" xr:uid="{00000000-0004-0000-0300-000004000000}"/>
    <hyperlink ref="M57" r:id="rId6" xr:uid="{00000000-0004-0000-0300-000005000000}"/>
    <hyperlink ref="M75" r:id="rId7" xr:uid="{00000000-0004-0000-0300-000006000000}"/>
    <hyperlink ref="M85" r:id="rId8" xr:uid="{00000000-0004-0000-0300-000007000000}"/>
    <hyperlink ref="M108" r:id="rId9" xr:uid="{00000000-0004-0000-0300-000008000000}"/>
    <hyperlink ref="B109" r:id="rId10" xr:uid="{00000000-0004-0000-0300-000009000000}"/>
    <hyperlink ref="M109" r:id="rId11" xr:uid="{00000000-0004-0000-0300-00000A000000}"/>
    <hyperlink ref="M112" r:id="rId12" xr:uid="{00000000-0004-0000-0300-00000B000000}"/>
    <hyperlink ref="M113" r:id="rId13" xr:uid="{00000000-0004-0000-0300-00000C000000}"/>
    <hyperlink ref="M118" r:id="rId14" xr:uid="{00000000-0004-0000-0300-00000D000000}"/>
    <hyperlink ref="B133" r:id="rId15" xr:uid="{00000000-0004-0000-0300-00000E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M200"/>
  <sheetViews>
    <sheetView workbookViewId="0">
      <pane xSplit="2" ySplit="2" topLeftCell="C3" activePane="bottomRight" state="frozen"/>
      <selection pane="topRight" activeCell="C1" sqref="C1"/>
      <selection pane="bottomLeft" activeCell="A3" sqref="A3"/>
      <selection pane="bottomRight" activeCell="C3" sqref="C3"/>
    </sheetView>
  </sheetViews>
  <sheetFormatPr defaultColWidth="15.1796875" defaultRowHeight="15.75" customHeight="1"/>
  <cols>
    <col min="1" max="1" width="14.26953125" customWidth="1"/>
    <col min="3" max="3" width="6" customWidth="1"/>
    <col min="4" max="4" width="6.81640625" customWidth="1"/>
    <col min="5" max="5" width="7.453125" customWidth="1"/>
    <col min="6" max="6" width="7.54296875" customWidth="1"/>
    <col min="7" max="7" width="8.7265625" customWidth="1"/>
    <col min="8" max="9" width="7.453125" customWidth="1"/>
    <col min="10" max="12" width="8.7265625" customWidth="1"/>
    <col min="13" max="13" width="68.26953125" customWidth="1"/>
  </cols>
  <sheetData>
    <row r="1" spans="1:13" ht="15.75" customHeight="1">
      <c r="A1" s="108" t="s">
        <v>146</v>
      </c>
      <c r="B1" s="108" t="s">
        <v>147</v>
      </c>
      <c r="C1" s="32" t="s">
        <v>148</v>
      </c>
      <c r="D1" s="32" t="s">
        <v>149</v>
      </c>
      <c r="E1" s="32" t="s">
        <v>150</v>
      </c>
      <c r="F1" s="32" t="s">
        <v>151</v>
      </c>
      <c r="G1" s="32" t="s">
        <v>152</v>
      </c>
      <c r="H1" s="32" t="s">
        <v>153</v>
      </c>
      <c r="I1" s="32" t="s">
        <v>154</v>
      </c>
      <c r="J1" s="32" t="s">
        <v>155</v>
      </c>
      <c r="K1" s="32" t="s">
        <v>156</v>
      </c>
      <c r="L1" s="32" t="s">
        <v>157</v>
      </c>
      <c r="M1" s="34" t="s">
        <v>158</v>
      </c>
    </row>
    <row r="2" spans="1:13" ht="15.75" customHeight="1">
      <c r="A2" s="109"/>
      <c r="B2" s="56" t="s">
        <v>159</v>
      </c>
      <c r="C2" s="37">
        <f>COUNTIF(C5:C10496, "AC")</f>
        <v>0</v>
      </c>
      <c r="D2" s="37" t="e">
        <f ca="1">ROUND(SUMPRODUCT(D5:D10496,INT(EQ(C5:C10496, "AC")))/MAX(1, C2),1)</f>
        <v>#NAME?</v>
      </c>
      <c r="E2" s="37" t="e">
        <f ca="1">ROUND(SUMPRODUCT(E5:E10518,INT(EQ(C5:C10518, "AC")))/MAX(1, C2),0)</f>
        <v>#NAME?</v>
      </c>
      <c r="F2" s="37" t="e">
        <f ca="1">ROUND(SUMPRODUCT(F5:F10521,INT(EQ(C5:C10521, "AC")))/MAX(1, C2),0)</f>
        <v>#NAME?</v>
      </c>
      <c r="G2" s="37" t="e">
        <f ca="1">ROUND(SUMPRODUCT(G5:G10521,INT(EQ(C5:C10521, "AC")))/MAX(1, C2),0)</f>
        <v>#NAME?</v>
      </c>
      <c r="H2" s="37" t="e">
        <f ca="1">ROUND(SUMPRODUCT(H5:H10521,INT(EQ(C5:C10521, "AC")))/MAX(1, C2),0)</f>
        <v>#NAME?</v>
      </c>
      <c r="I2" s="37" t="e">
        <f ca="1">ROUND(SUMPRODUCT(I5:I10493,INT(EQ(C5:C10493, "AC")))/MAX(1, C2),0)</f>
        <v>#NAME?</v>
      </c>
      <c r="J2" s="37" t="e">
        <f ca="1">ROUND(SUMPRODUCT(J5:J10491,INT(EQ(C5:C10491, "AC")))/MAX(1, C2),1)</f>
        <v>#NAME?</v>
      </c>
      <c r="K2" s="37" t="e">
        <f ca="1">SUMPRODUCT(EQ(K5:K10496, "YES"),INT(EQ(C5:C10521, "AC")))</f>
        <v>#NAME?</v>
      </c>
      <c r="L2" s="38">
        <f ca="1">IFERROR(__xludf.DUMMYFUNCTION("COUNTA(FILTER(C5:C9988, NOT(REGEXMATCH(C5:C9988, ""AC""))))"),0)</f>
        <v>0</v>
      </c>
      <c r="M2" s="39">
        <f ca="1">IFERROR(__xludf.DUMMYFUNCTION("COUNTA(FILTER(C5:C9982, NOT(REGEXMATCH(C5:C9982, ""AC""))))"),0)</f>
        <v>0</v>
      </c>
    </row>
    <row r="3" spans="1:13" ht="15.75" customHeight="1">
      <c r="A3" s="46"/>
      <c r="B3" s="46"/>
      <c r="C3" s="67"/>
      <c r="D3" s="67"/>
      <c r="E3" s="67"/>
      <c r="F3" s="67"/>
      <c r="G3" s="67"/>
      <c r="H3" s="67"/>
      <c r="I3" s="36"/>
      <c r="J3" s="36"/>
      <c r="K3" s="36"/>
      <c r="L3" s="67"/>
      <c r="M3" s="56" t="s">
        <v>578</v>
      </c>
    </row>
    <row r="4" spans="1:13" ht="15.75" customHeight="1">
      <c r="A4" s="46"/>
      <c r="B4" s="46"/>
      <c r="C4" s="67"/>
      <c r="D4" s="67"/>
      <c r="E4" s="67"/>
      <c r="F4" s="67"/>
      <c r="G4" s="67"/>
      <c r="H4" s="67"/>
      <c r="I4" s="36"/>
      <c r="J4" s="36"/>
      <c r="K4" s="36"/>
      <c r="L4" s="67"/>
      <c r="M4" s="10" t="s">
        <v>579</v>
      </c>
    </row>
    <row r="5" spans="1:13" ht="15.75" customHeight="1">
      <c r="A5" s="46" t="s">
        <v>580</v>
      </c>
      <c r="B5" s="136" t="str">
        <f>HYPERLINK("http://codeforces.com/contest/515/problem/C","CF515-D2-C")</f>
        <v>CF515-D2-C</v>
      </c>
      <c r="C5" s="67"/>
      <c r="D5" s="67"/>
      <c r="E5" s="67"/>
      <c r="F5" s="67"/>
      <c r="G5" s="67"/>
      <c r="H5" s="67"/>
      <c r="I5" s="36">
        <f t="shared" ref="I5:I148" si="0">SUM(E5:H5)</f>
        <v>0</v>
      </c>
      <c r="J5" s="36"/>
      <c r="K5" s="36"/>
      <c r="L5" s="67"/>
      <c r="M5" s="59" t="str">
        <f>HYPERLINK("https://www.youtube.com/watch?v=QEh0ugyYPUw","Video Solution - Dr Mostafa Saad")</f>
        <v>Video Solution - Dr Mostafa Saad</v>
      </c>
    </row>
    <row r="6" spans="1:13" ht="15.75" customHeight="1">
      <c r="A6" s="56" t="s">
        <v>581</v>
      </c>
      <c r="B6" s="87" t="str">
        <f>HYPERLINK("http://codeforces.com/contest/304/problem/C","CF304-D2-C")</f>
        <v>CF304-D2-C</v>
      </c>
      <c r="C6" s="67"/>
      <c r="D6" s="67"/>
      <c r="E6" s="67"/>
      <c r="F6" s="67"/>
      <c r="G6" s="67"/>
      <c r="H6" s="67"/>
      <c r="I6" s="36">
        <f t="shared" si="0"/>
        <v>0</v>
      </c>
      <c r="J6" s="10"/>
      <c r="K6" s="10"/>
      <c r="L6" s="10"/>
      <c r="M6" s="10"/>
    </row>
    <row r="7" spans="1:13" ht="15.75" customHeight="1">
      <c r="A7" s="56" t="s">
        <v>582</v>
      </c>
      <c r="B7" s="87" t="str">
        <f>HYPERLINK("http://codeforces.com/contest/546/problem/C","CF546-D2-C")</f>
        <v>CF546-D2-C</v>
      </c>
      <c r="C7" s="67"/>
      <c r="D7" s="67"/>
      <c r="E7" s="67"/>
      <c r="F7" s="67"/>
      <c r="G7" s="67"/>
      <c r="H7" s="67"/>
      <c r="I7" s="36">
        <f t="shared" si="0"/>
        <v>0</v>
      </c>
      <c r="J7" s="10"/>
      <c r="K7" s="10"/>
      <c r="L7" s="10"/>
      <c r="M7" s="10"/>
    </row>
    <row r="8" spans="1:13" ht="15.75" customHeight="1">
      <c r="A8" s="56" t="s">
        <v>583</v>
      </c>
      <c r="B8" s="87" t="str">
        <f>HYPERLINK("http://codeforces.com/contest/651/problem/C","CF651-D2-C")</f>
        <v>CF651-D2-C</v>
      </c>
      <c r="C8" s="67"/>
      <c r="D8" s="67"/>
      <c r="E8" s="67"/>
      <c r="F8" s="67"/>
      <c r="G8" s="67"/>
      <c r="H8" s="67"/>
      <c r="I8" s="36">
        <f t="shared" si="0"/>
        <v>0</v>
      </c>
      <c r="J8" s="10"/>
      <c r="K8" s="10"/>
      <c r="L8" s="10"/>
      <c r="M8" s="10"/>
    </row>
    <row r="9" spans="1:13" ht="15.75" customHeight="1">
      <c r="A9" s="56"/>
      <c r="B9" s="87"/>
      <c r="C9" s="67"/>
      <c r="D9" s="67"/>
      <c r="E9" s="67"/>
      <c r="F9" s="67"/>
      <c r="G9" s="67"/>
      <c r="H9" s="67"/>
      <c r="I9" s="36">
        <f t="shared" si="0"/>
        <v>0</v>
      </c>
      <c r="J9" s="36"/>
      <c r="K9" s="36"/>
      <c r="L9" s="10"/>
      <c r="M9" s="70"/>
    </row>
    <row r="10" spans="1:13" ht="15.75" customHeight="1">
      <c r="A10" s="46"/>
      <c r="B10" s="46"/>
      <c r="C10" s="67"/>
      <c r="D10" s="67"/>
      <c r="E10" s="67"/>
      <c r="F10" s="67"/>
      <c r="G10" s="67"/>
      <c r="H10" s="67"/>
      <c r="I10" s="36">
        <f t="shared" si="0"/>
        <v>0</v>
      </c>
      <c r="J10" s="36"/>
      <c r="K10" s="36"/>
      <c r="L10" s="67"/>
      <c r="M10" s="110" t="str">
        <f>HYPERLINK("https://www.youtube.com/watch?v=Tm_Vlkv4mOo","Watch - Thinking - Concretely - Symbolically - Pictorially ")</f>
        <v xml:space="preserve">Watch - Thinking - Concretely - Symbolically - Pictorially </v>
      </c>
    </row>
    <row r="11" spans="1:13" ht="15.75" customHeight="1">
      <c r="A11" s="46"/>
      <c r="B11" s="46"/>
      <c r="C11" s="67"/>
      <c r="D11" s="67"/>
      <c r="E11" s="67"/>
      <c r="F11" s="67"/>
      <c r="G11" s="67"/>
      <c r="H11" s="67"/>
      <c r="I11" s="36">
        <f t="shared" si="0"/>
        <v>0</v>
      </c>
      <c r="J11" s="36"/>
      <c r="K11" s="36"/>
      <c r="L11" s="67"/>
      <c r="M11" s="113" t="str">
        <f>HYPERLINK("https://www.youtube.com/watch?v=6Fx8T_NBA7Q","Watch - Thinking - Problem Constraints ")</f>
        <v xml:space="preserve">Watch - Thinking - Problem Constraints </v>
      </c>
    </row>
    <row r="12" spans="1:13" ht="15.75" customHeight="1">
      <c r="A12" s="46"/>
      <c r="B12" s="46"/>
      <c r="C12" s="67"/>
      <c r="D12" s="67"/>
      <c r="E12" s="67"/>
      <c r="F12" s="67"/>
      <c r="G12" s="67"/>
      <c r="H12" s="67"/>
      <c r="I12" s="36">
        <f t="shared" si="0"/>
        <v>0</v>
      </c>
      <c r="J12" s="36"/>
      <c r="K12" s="36"/>
      <c r="L12" s="67"/>
      <c r="M12" s="113" t="str">
        <f>HYPERLINK("https://www.youtube.com/watch?v=VZBfW08ECgA","Watch - Number Theory - Primes")</f>
        <v>Watch - Number Theory - Primes</v>
      </c>
    </row>
    <row r="13" spans="1:13" ht="15.75" customHeight="1">
      <c r="A13" s="74" t="s">
        <v>584</v>
      </c>
      <c r="B13" s="128" t="str">
        <f>HYPERLINK("http://codeforces.com/contest/371/problem/B","CF371-D2-B")</f>
        <v>CF371-D2-B</v>
      </c>
      <c r="C13" s="67"/>
      <c r="D13" s="67"/>
      <c r="E13" s="67"/>
      <c r="F13" s="67"/>
      <c r="G13" s="67"/>
      <c r="H13" s="67"/>
      <c r="I13" s="36">
        <f t="shared" si="0"/>
        <v>0</v>
      </c>
      <c r="J13" s="36"/>
      <c r="K13" s="36"/>
      <c r="L13" s="10"/>
      <c r="M13" s="59" t="str">
        <f>HYPERLINK("https://www.youtube.com/watch?v=s9jsw8Uj4uI&amp;feature=youtu.be","Video Solution - Eng Abanob Ashraf")</f>
        <v>Video Solution - Eng Abanob Ashraf</v>
      </c>
    </row>
    <row r="14" spans="1:13" ht="15.75" customHeight="1">
      <c r="A14" s="74" t="s">
        <v>585</v>
      </c>
      <c r="B14" s="128" t="str">
        <f>HYPERLINK("http://codeforces.com/contest/588/problem/B","CF588-D2-B")</f>
        <v>CF588-D2-B</v>
      </c>
      <c r="C14" s="67"/>
      <c r="D14" s="67"/>
      <c r="E14" s="67"/>
      <c r="F14" s="67"/>
      <c r="G14" s="67"/>
      <c r="H14" s="67"/>
      <c r="I14" s="36">
        <f t="shared" si="0"/>
        <v>0</v>
      </c>
      <c r="J14" s="36"/>
      <c r="K14" s="36"/>
      <c r="L14" s="10"/>
      <c r="M14" s="10"/>
    </row>
    <row r="15" spans="1:13" ht="15.75" customHeight="1">
      <c r="A15" s="74" t="s">
        <v>586</v>
      </c>
      <c r="B15" s="128" t="str">
        <f>HYPERLINK("https://uva.onlinejudge.org/index.php?option=onlinejudge&amp;page=show_problem&amp;problem=1335","UVA 10394")</f>
        <v>UVA 10394</v>
      </c>
      <c r="C15" s="67"/>
      <c r="D15" s="67"/>
      <c r="E15" s="67"/>
      <c r="F15" s="67"/>
      <c r="G15" s="67"/>
      <c r="H15" s="67"/>
      <c r="I15" s="36">
        <f t="shared" si="0"/>
        <v>0</v>
      </c>
      <c r="J15" s="36"/>
      <c r="K15" s="36"/>
      <c r="L15" s="67"/>
      <c r="M15" s="146"/>
    </row>
    <row r="16" spans="1:13" ht="15.75" customHeight="1">
      <c r="A16" s="74" t="s">
        <v>587</v>
      </c>
      <c r="B16" s="128" t="str">
        <f>HYPERLINK("https://uva.onlinejudge.org/index.php?option=onlinejudge&amp;page=show_problem&amp;problem=1109","UVA 10168")</f>
        <v>UVA 10168</v>
      </c>
      <c r="C16" s="67"/>
      <c r="D16" s="67"/>
      <c r="E16" s="67"/>
      <c r="F16" s="67"/>
      <c r="G16" s="67"/>
      <c r="H16" s="67"/>
      <c r="I16" s="36">
        <f t="shared" si="0"/>
        <v>0</v>
      </c>
      <c r="J16" s="36"/>
      <c r="K16" s="36"/>
      <c r="L16" s="67"/>
      <c r="M16" s="116" t="str">
        <f>HYPERLINK("https://www.youtube.com/watch?v=BztjeBZmzco&amp;feature=youtu.be","Video Solution - Eng Moaz Rashad")</f>
        <v>Video Solution - Eng Moaz Rashad</v>
      </c>
    </row>
    <row r="17" spans="1:13" ht="15.75" customHeight="1">
      <c r="A17" s="79" t="s">
        <v>588</v>
      </c>
      <c r="B17" s="117" t="str">
        <f>HYPERLINK("https://uva.onlinejudge.org/index.php?option=onlinejudge&amp;page=show_problem&amp;problem=1266","UVA 10325")</f>
        <v>UVA 10325</v>
      </c>
      <c r="C17" s="67"/>
      <c r="D17" s="67"/>
      <c r="E17" s="67"/>
      <c r="F17" s="67"/>
      <c r="G17" s="67"/>
      <c r="H17" s="67"/>
      <c r="I17" s="36">
        <f t="shared" si="0"/>
        <v>0</v>
      </c>
      <c r="J17" s="36"/>
      <c r="K17" s="36"/>
      <c r="L17" s="67"/>
      <c r="M17" s="116" t="str">
        <f>HYPERLINK("https://www.youtube.com/watch?v=OA_J9bFxJpU","Video Solution - Eng Amr Bahaa")</f>
        <v>Video Solution - Eng Amr Bahaa</v>
      </c>
    </row>
    <row r="18" spans="1:13" ht="15.75" customHeight="1">
      <c r="A18" s="79" t="s">
        <v>589</v>
      </c>
      <c r="B18" s="117" t="str">
        <f>HYPERLINK("http://codeforces.com/contest/371/problem/C","CF371-D2-C")</f>
        <v>CF371-D2-C</v>
      </c>
      <c r="C18" s="67"/>
      <c r="D18" s="67"/>
      <c r="E18" s="67"/>
      <c r="F18" s="67"/>
      <c r="G18" s="67"/>
      <c r="H18" s="67"/>
      <c r="I18" s="36">
        <f t="shared" si="0"/>
        <v>0</v>
      </c>
      <c r="J18" s="36"/>
      <c r="K18" s="36"/>
      <c r="L18" s="67"/>
      <c r="M18" s="56"/>
    </row>
    <row r="19" spans="1:13" ht="15.75" customHeight="1">
      <c r="A19" s="79" t="s">
        <v>590</v>
      </c>
      <c r="B19" s="117" t="str">
        <f>HYPERLINK("https://uva.onlinejudge.org/index.php?option=onlinejudge&amp;page=show_problem&amp;problem=1658","UVA 10717")</f>
        <v>UVA 10717</v>
      </c>
      <c r="C19" s="67"/>
      <c r="D19" s="67"/>
      <c r="E19" s="67"/>
      <c r="F19" s="67"/>
      <c r="G19" s="67"/>
      <c r="H19" s="67"/>
      <c r="I19" s="36">
        <f t="shared" si="0"/>
        <v>0</v>
      </c>
      <c r="J19" s="36"/>
      <c r="K19" s="36"/>
      <c r="L19" s="67"/>
      <c r="M19" s="147" t="str">
        <f>HYPERLINK("https://github.com/magdy-hasan/competitive-programming/blob/master/uva-/uva%2010717%20-%20Mint.cpp","Sol")</f>
        <v>Sol</v>
      </c>
    </row>
    <row r="20" spans="1:13" ht="15.75" customHeight="1">
      <c r="A20" s="79" t="s">
        <v>591</v>
      </c>
      <c r="B20" s="148" t="str">
        <f>HYPERLINK("http://www.spoj.com/problems/BITMAP/","SPOJ BITMAP")</f>
        <v>SPOJ BITMAP</v>
      </c>
      <c r="C20" s="67"/>
      <c r="D20" s="67"/>
      <c r="E20" s="67"/>
      <c r="F20" s="67"/>
      <c r="G20" s="67"/>
      <c r="H20" s="67"/>
      <c r="I20" s="36">
        <f t="shared" si="0"/>
        <v>0</v>
      </c>
      <c r="J20" s="10"/>
      <c r="K20" s="10"/>
      <c r="L20" s="10"/>
      <c r="M20" s="147" t="str">
        <f>HYPERLINK("https://github.com/omarkhair/Problems-Editorial/blob/master/SPOJ/Bitmap/Editorial.md","Editorial")</f>
        <v>Editorial</v>
      </c>
    </row>
    <row r="21" spans="1:13" ht="15.75" customHeight="1">
      <c r="A21" s="79"/>
      <c r="B21" s="117" t="str">
        <f>HYPERLINK("https://www.codechef.com/problems/GCDMOD", "CODECHEF GCDMOD")</f>
        <v>CODECHEF GCDMOD</v>
      </c>
      <c r="C21" s="67"/>
      <c r="D21" s="67"/>
      <c r="E21" s="67"/>
      <c r="F21" s="67"/>
      <c r="G21" s="67"/>
      <c r="H21" s="67"/>
      <c r="I21" s="36">
        <f t="shared" si="0"/>
        <v>0</v>
      </c>
      <c r="J21" s="10"/>
      <c r="K21" s="10"/>
      <c r="L21" s="10"/>
      <c r="M21" s="136" t="str">
        <f>HYPERLINK("https://github.com/tmwilliamlin168/CompetitiveProgramming/blob/master/CodeChef/GCDMOD.cpp","Sol uses __int128 to avoid overflow")</f>
        <v>Sol uses __int128 to avoid overflow</v>
      </c>
    </row>
    <row r="22" spans="1:13" ht="15.75" customHeight="1">
      <c r="A22" s="79"/>
      <c r="B22" s="149" t="s">
        <v>592</v>
      </c>
      <c r="C22" s="67"/>
      <c r="D22" s="67"/>
      <c r="E22" s="67"/>
      <c r="F22" s="67"/>
      <c r="G22" s="67"/>
      <c r="H22" s="67"/>
      <c r="I22" s="36">
        <f t="shared" si="0"/>
        <v>0</v>
      </c>
      <c r="J22" s="10"/>
      <c r="K22" s="10"/>
      <c r="L22" s="10"/>
      <c r="M22" s="147" t="str">
        <f>HYPERLINK("https://www.geeksforgeeks.org/total-number-spanning-trees-graph/","Theory result to read")</f>
        <v>Theory result to read</v>
      </c>
    </row>
    <row r="23" spans="1:13" ht="15.75" customHeight="1">
      <c r="A23" s="150" t="s">
        <v>593</v>
      </c>
      <c r="B23" s="25" t="str">
        <f>HYPERLINK("http://codeforces.com/contest/437/problem/B","CF437-D2-B")</f>
        <v>CF437-D2-B</v>
      </c>
      <c r="C23" s="67"/>
      <c r="D23" s="67"/>
      <c r="E23" s="67"/>
      <c r="F23" s="67"/>
      <c r="G23" s="67"/>
      <c r="H23" s="67"/>
      <c r="I23" s="36">
        <f t="shared" si="0"/>
        <v>0</v>
      </c>
      <c r="J23" s="10"/>
      <c r="K23" s="10"/>
      <c r="L23" s="10"/>
      <c r="M23" s="10"/>
    </row>
    <row r="24" spans="1:13" ht="15.75" customHeight="1">
      <c r="A24" s="150" t="s">
        <v>594</v>
      </c>
      <c r="B24" s="25" t="str">
        <f>HYPERLINK("http://codeforces.com/contest/518/problem/B","CF518-D2-B")</f>
        <v>CF518-D2-B</v>
      </c>
      <c r="C24" s="67"/>
      <c r="D24" s="67"/>
      <c r="E24" s="67"/>
      <c r="F24" s="67"/>
      <c r="G24" s="67"/>
      <c r="H24" s="67"/>
      <c r="I24" s="36">
        <f t="shared" si="0"/>
        <v>0</v>
      </c>
      <c r="J24" s="10"/>
      <c r="K24" s="10"/>
      <c r="L24" s="10"/>
      <c r="M24" s="10"/>
    </row>
    <row r="25" spans="1:13" ht="15.75" customHeight="1">
      <c r="A25" s="46"/>
      <c r="B25" s="46"/>
      <c r="C25" s="67"/>
      <c r="D25" s="67"/>
      <c r="E25" s="67"/>
      <c r="F25" s="67"/>
      <c r="G25" s="67"/>
      <c r="H25" s="67"/>
      <c r="I25" s="36">
        <f t="shared" si="0"/>
        <v>0</v>
      </c>
      <c r="J25" s="36"/>
      <c r="K25" s="36"/>
      <c r="L25" s="67"/>
      <c r="M25" s="56"/>
    </row>
    <row r="26" spans="1:13" ht="15.75" customHeight="1">
      <c r="A26" s="56" t="s">
        <v>595</v>
      </c>
      <c r="B26" s="87" t="str">
        <f>HYPERLINK("http://codeforces.com/contest/296/problem/C","CF296-D2-C")</f>
        <v>CF296-D2-C</v>
      </c>
      <c r="C26" s="10"/>
      <c r="D26" s="10"/>
      <c r="E26" s="10"/>
      <c r="F26" s="10"/>
      <c r="G26" s="10"/>
      <c r="H26" s="10"/>
      <c r="I26" s="67">
        <f t="shared" si="0"/>
        <v>0</v>
      </c>
      <c r="J26" s="10"/>
      <c r="K26" s="10"/>
      <c r="L26" s="10"/>
      <c r="M26" s="10"/>
    </row>
    <row r="27" spans="1:13" ht="15.75" customHeight="1">
      <c r="A27" s="56" t="s">
        <v>596</v>
      </c>
      <c r="B27" s="87" t="str">
        <f>HYPERLINK("http://codeforces.com/contest/131/problem/C","CF131-D2-C")</f>
        <v>CF131-D2-C</v>
      </c>
      <c r="C27" s="67"/>
      <c r="D27" s="67"/>
      <c r="E27" s="67"/>
      <c r="F27" s="67"/>
      <c r="G27" s="67"/>
      <c r="H27" s="67"/>
      <c r="I27" s="36">
        <f t="shared" si="0"/>
        <v>0</v>
      </c>
      <c r="J27" s="10"/>
      <c r="K27" s="10"/>
      <c r="L27" s="10"/>
      <c r="M27" s="131" t="str">
        <f>HYPERLINK("https://www.youtube.com/watch?v=96OYl0On3hc","Video Solution - Eng Youssef Ali")</f>
        <v>Video Solution - Eng Youssef Ali</v>
      </c>
    </row>
    <row r="28" spans="1:13" ht="15.75" customHeight="1">
      <c r="A28" s="56" t="s">
        <v>597</v>
      </c>
      <c r="B28" s="87" t="str">
        <f>HYPERLINK("http://codeforces.com/contest/88/problem/C","CF88-D2-C")</f>
        <v>CF88-D2-C</v>
      </c>
      <c r="C28" s="67"/>
      <c r="D28" s="67"/>
      <c r="E28" s="67"/>
      <c r="F28" s="67"/>
      <c r="G28" s="67"/>
      <c r="H28" s="67"/>
      <c r="I28" s="36">
        <f t="shared" si="0"/>
        <v>0</v>
      </c>
      <c r="J28" s="10"/>
      <c r="K28" s="10"/>
      <c r="L28" s="10"/>
      <c r="M28" s="70" t="str">
        <f>HYPERLINK("https://www.youtube.com/watch?v=YiM38hyILmc","Video Solution - Solver to be (Java)")</f>
        <v>Video Solution - Solver to be (Java)</v>
      </c>
    </row>
    <row r="29" spans="1:13" ht="15.75" customHeight="1">
      <c r="A29" s="150" t="s">
        <v>598</v>
      </c>
      <c r="B29" s="25" t="str">
        <f>HYPERLINK("http://codeforces.com/contest/378/problem/B","CF378-D2-B")</f>
        <v>CF378-D2-B</v>
      </c>
      <c r="C29" s="67"/>
      <c r="D29" s="67"/>
      <c r="E29" s="67"/>
      <c r="F29" s="67"/>
      <c r="G29" s="67"/>
      <c r="H29" s="67"/>
      <c r="I29" s="36">
        <f t="shared" si="0"/>
        <v>0</v>
      </c>
      <c r="J29" s="10"/>
      <c r="K29" s="10"/>
      <c r="L29" s="10"/>
      <c r="M29" s="70"/>
    </row>
    <row r="30" spans="1:13" ht="15.75" customHeight="1">
      <c r="A30" s="150" t="s">
        <v>599</v>
      </c>
      <c r="B30" s="25" t="str">
        <f>HYPERLINK("http://codeforces.com/contest/479/problem/B","CF479-D2-B")</f>
        <v>CF479-D2-B</v>
      </c>
      <c r="C30" s="67"/>
      <c r="D30" s="67"/>
      <c r="E30" s="67"/>
      <c r="F30" s="67"/>
      <c r="G30" s="67"/>
      <c r="H30" s="67"/>
      <c r="I30" s="36">
        <f t="shared" si="0"/>
        <v>0</v>
      </c>
      <c r="J30" s="10"/>
      <c r="K30" s="10"/>
      <c r="L30" s="10"/>
      <c r="M30" s="70"/>
    </row>
    <row r="31" spans="1:13" ht="15.75" customHeight="1">
      <c r="A31" s="46"/>
      <c r="B31" s="46"/>
      <c r="C31" s="67"/>
      <c r="D31" s="67"/>
      <c r="E31" s="67"/>
      <c r="F31" s="67"/>
      <c r="G31" s="67"/>
      <c r="H31" s="67"/>
      <c r="I31" s="36">
        <f t="shared" si="0"/>
        <v>0</v>
      </c>
      <c r="J31" s="36"/>
      <c r="K31" s="36"/>
      <c r="L31" s="67"/>
      <c r="M31" s="113" t="str">
        <f>HYPERLINK("https://www.youtube.com/watch?v=jxvaNAthWRI","Watch - Algebra - Number Bases and Polynomials")</f>
        <v>Watch - Algebra - Number Bases and Polynomials</v>
      </c>
    </row>
    <row r="32" spans="1:13" ht="15.75" customHeight="1">
      <c r="A32" s="91" t="s">
        <v>600</v>
      </c>
      <c r="B32" s="151" t="str">
        <f>HYPERLINK("https://uva.onlinejudge.org/index.php?option=onlinejudge&amp;page=show_problem&amp;problem=1410","UVA 10469")</f>
        <v>UVA 10469</v>
      </c>
      <c r="C32" s="67"/>
      <c r="D32" s="67"/>
      <c r="E32" s="67"/>
      <c r="F32" s="67"/>
      <c r="G32" s="67"/>
      <c r="H32" s="67"/>
      <c r="I32" s="36">
        <f t="shared" si="0"/>
        <v>0</v>
      </c>
      <c r="J32" s="36"/>
      <c r="K32" s="36"/>
      <c r="L32" s="36"/>
      <c r="M32" s="147" t="str">
        <f>HYPERLINK("https://github.com/Diusrex/UVA-Solutions/blob/master/10469%20To%20Carry%20or%20not%20to%20Carry.cpp","Sol")</f>
        <v>Sol</v>
      </c>
    </row>
    <row r="33" spans="1:13" ht="15.75" customHeight="1">
      <c r="A33" s="74" t="s">
        <v>601</v>
      </c>
      <c r="B33" s="128" t="str">
        <f>HYPERLINK("https://uva.onlinejudge.org/index.php?option=onlinejudge&amp;page=show_problem&amp;problem=1753","UVA 10812")</f>
        <v>UVA 10812</v>
      </c>
      <c r="C33" s="67"/>
      <c r="D33" s="67"/>
      <c r="E33" s="67"/>
      <c r="F33" s="67"/>
      <c r="G33" s="67"/>
      <c r="H33" s="67"/>
      <c r="I33" s="36">
        <f t="shared" si="0"/>
        <v>0</v>
      </c>
      <c r="J33" s="36"/>
      <c r="K33" s="36"/>
      <c r="L33" s="67"/>
      <c r="M33" s="46"/>
    </row>
    <row r="34" spans="1:13" ht="15.75" customHeight="1">
      <c r="A34" s="74" t="s">
        <v>602</v>
      </c>
      <c r="B34" s="128" t="str">
        <f>HYPERLINK("https://uva.onlinejudge.org/index.php?option=onlinejudge&amp;page=show_problem&amp;problem=1243","UVA 10302")</f>
        <v>UVA 10302</v>
      </c>
      <c r="C34" s="67"/>
      <c r="D34" s="67"/>
      <c r="E34" s="67"/>
      <c r="F34" s="67"/>
      <c r="G34" s="67"/>
      <c r="H34" s="67"/>
      <c r="I34" s="36">
        <f t="shared" si="0"/>
        <v>0</v>
      </c>
      <c r="J34" s="36"/>
      <c r="K34" s="36"/>
      <c r="L34" s="67"/>
      <c r="M34" s="46"/>
    </row>
    <row r="35" spans="1:13" ht="15.75" customHeight="1">
      <c r="A35" s="74" t="s">
        <v>603</v>
      </c>
      <c r="B35" s="152" t="str">
        <f>HYPERLINK("https://uva.onlinejudge.org/index.php?option=com_onlinejudge&amp;Itemid=8&amp;page=show_problem&amp;problem=439","UVA 498")</f>
        <v>UVA 498</v>
      </c>
      <c r="C35" s="67"/>
      <c r="D35" s="67"/>
      <c r="E35" s="67"/>
      <c r="F35" s="67"/>
      <c r="G35" s="67"/>
      <c r="H35" s="67"/>
      <c r="I35" s="36">
        <f t="shared" si="0"/>
        <v>0</v>
      </c>
      <c r="J35" s="36"/>
      <c r="K35" s="36"/>
      <c r="L35" s="67"/>
      <c r="M35" s="56"/>
    </row>
    <row r="36" spans="1:13" ht="15.75" customHeight="1">
      <c r="A36" s="148"/>
      <c r="B36" s="153" t="str">
        <f>HYPERLINK("https://uva.onlinejudge.org/index.php?option=onlinejudge&amp;page=show_problem&amp;problem=1994","UVA 11053")</f>
        <v>UVA 11053</v>
      </c>
      <c r="C36" s="67"/>
      <c r="D36" s="67"/>
      <c r="E36" s="67"/>
      <c r="F36" s="67"/>
      <c r="G36" s="67"/>
      <c r="H36" s="67"/>
      <c r="I36" s="36">
        <f t="shared" si="0"/>
        <v>0</v>
      </c>
      <c r="J36" s="36"/>
      <c r="K36" s="36"/>
      <c r="L36" s="67"/>
      <c r="M36" s="147" t="str">
        <f>HYPERLINK("https://en.wikipedia.org/wiki/Cycle_detection#Floyd.27s_Tortoise_and_Hare","Find O(n) Solution")</f>
        <v>Find O(n) Solution</v>
      </c>
    </row>
    <row r="37" spans="1:13" ht="15.75" customHeight="1">
      <c r="A37" s="148"/>
      <c r="B37" s="153" t="str">
        <f>HYPERLINK("https://icpcarchive.ecs.baylor.edu/index.php?option=com_onlinejudge&amp;Itemid=8&amp;page=show_problem&amp;problem=6100","LiveArchive 8078")</f>
        <v>LiveArchive 8078</v>
      </c>
      <c r="C37" s="67"/>
      <c r="D37" s="67"/>
      <c r="E37" s="67"/>
      <c r="F37" s="67"/>
      <c r="G37" s="67"/>
      <c r="H37" s="67"/>
      <c r="I37" s="36">
        <f t="shared" si="0"/>
        <v>0</v>
      </c>
      <c r="J37" s="36"/>
      <c r="K37" s="36"/>
      <c r="L37" s="67"/>
      <c r="M37" s="147" t="str">
        <f>HYPERLINK("https://github.com/goswami-rahul/competitive-coding/blob/master/CompetitiveProgramming/livearchive/8078.cpp","Sol")</f>
        <v>Sol</v>
      </c>
    </row>
    <row r="38" spans="1:13" ht="15.75" customHeight="1">
      <c r="A38" s="56"/>
      <c r="B38" s="56"/>
      <c r="C38" s="67"/>
      <c r="D38" s="67"/>
      <c r="E38" s="67"/>
      <c r="F38" s="67"/>
      <c r="G38" s="67"/>
      <c r="H38" s="67"/>
      <c r="I38" s="36">
        <f t="shared" si="0"/>
        <v>0</v>
      </c>
      <c r="J38" s="36"/>
      <c r="K38" s="36"/>
      <c r="L38" s="67"/>
      <c r="M38" s="113" t="str">
        <f>HYPERLINK("https://www.youtube.com/watch?v=O2SPaQXYHFc","Watch - Algebra - Patterns in Sequences")</f>
        <v>Watch - Algebra - Patterns in Sequences</v>
      </c>
    </row>
    <row r="39" spans="1:13" ht="15.75" customHeight="1">
      <c r="A39" s="74" t="s">
        <v>604</v>
      </c>
      <c r="B39" s="128" t="str">
        <f>HYPERLINK("https://uva.onlinejudge.org/index.php?option=onlinejudge&amp;page=show_problem&amp;problem=1450","UVA 10509")</f>
        <v>UVA 10509</v>
      </c>
      <c r="C39" s="67"/>
      <c r="D39" s="67"/>
      <c r="E39" s="67"/>
      <c r="F39" s="67"/>
      <c r="G39" s="67"/>
      <c r="H39" s="67"/>
      <c r="I39" s="36">
        <f t="shared" si="0"/>
        <v>0</v>
      </c>
      <c r="J39" s="36"/>
      <c r="K39" s="36"/>
      <c r="L39" s="67"/>
      <c r="M39" s="154"/>
    </row>
    <row r="40" spans="1:13" ht="12.5">
      <c r="A40" s="79" t="s">
        <v>605</v>
      </c>
      <c r="B40" s="148" t="str">
        <f>HYPERLINK("http://www.spoj.com/problems/QUEEN/","SPOJ QUEEN")</f>
        <v>SPOJ QUEEN</v>
      </c>
      <c r="C40" s="67"/>
      <c r="D40" s="67"/>
      <c r="E40" s="67"/>
      <c r="F40" s="67"/>
      <c r="G40" s="67"/>
      <c r="H40" s="67"/>
      <c r="I40" s="36">
        <f t="shared" si="0"/>
        <v>0</v>
      </c>
      <c r="J40" s="10"/>
      <c r="K40" s="10"/>
      <c r="L40" s="10"/>
      <c r="M40" s="95" t="str">
        <f>HYPERLINK("https://github.com/magdy-hasan/competitive-programming/blob/master/SPOJ/SPOJ%20QUEEN%20-%20Wandering%20Queen.cpp","Sol to read")</f>
        <v>Sol to read</v>
      </c>
    </row>
    <row r="41" spans="1:13" ht="12.5">
      <c r="A41" s="79"/>
      <c r="B41" s="155" t="str">
        <f>HYPERLINK("https://www.hackerrank.com/challenges/sherlock-and-probability","HACKR sherlock-and-probability")</f>
        <v>HACKR sherlock-and-probability</v>
      </c>
      <c r="C41" s="67"/>
      <c r="D41" s="67"/>
      <c r="E41" s="67"/>
      <c r="F41" s="67"/>
      <c r="G41" s="67"/>
      <c r="H41" s="67"/>
      <c r="I41" s="36">
        <f t="shared" si="0"/>
        <v>0</v>
      </c>
      <c r="J41" s="10"/>
      <c r="K41" s="10"/>
      <c r="L41" s="10"/>
      <c r="M41" s="147" t="str">
        <f>HYPERLINK("https://github.com/MohamedNabil97/CompetitiveProgramming/blob/master/Hackerrank/sherlock-and-probability.cpp","Sol")</f>
        <v>Sol</v>
      </c>
    </row>
    <row r="42" spans="1:13" ht="13">
      <c r="A42" s="56"/>
      <c r="B42" s="156"/>
      <c r="C42" s="67"/>
      <c r="D42" s="67"/>
      <c r="E42" s="67"/>
      <c r="F42" s="67"/>
      <c r="G42" s="67"/>
      <c r="H42" s="67"/>
      <c r="I42" s="36">
        <f t="shared" si="0"/>
        <v>0</v>
      </c>
      <c r="J42" s="36"/>
      <c r="K42" s="36"/>
      <c r="L42" s="67"/>
      <c r="M42" s="113" t="str">
        <f>HYPERLINK("https://www.youtube.com/watch?v=xY8To84R87Y","Watch - Algebra - Summations")</f>
        <v>Watch - Algebra - Summations</v>
      </c>
    </row>
    <row r="43" spans="1:13" ht="13">
      <c r="A43" s="56"/>
      <c r="B43" s="156"/>
      <c r="C43" s="67"/>
      <c r="D43" s="67"/>
      <c r="E43" s="67"/>
      <c r="F43" s="67"/>
      <c r="G43" s="67"/>
      <c r="H43" s="67"/>
      <c r="I43" s="36">
        <f t="shared" si="0"/>
        <v>0</v>
      </c>
      <c r="J43" s="36"/>
      <c r="K43" s="36"/>
      <c r="L43" s="67"/>
      <c r="M43" s="113" t="str">
        <f>HYPERLINK("https://www.youtube.com/watch?v=OcqD14kI3Wk","Watch - Algebra - Basic Matrix Operations")</f>
        <v>Watch - Algebra - Basic Matrix Operations</v>
      </c>
    </row>
    <row r="44" spans="1:13" ht="12.5">
      <c r="A44" s="46" t="s">
        <v>606</v>
      </c>
      <c r="B44" s="147" t="str">
        <f>HYPERLINK("http://codeforces.com/contest/402/problem/C","CF402-D2-C")</f>
        <v>CF402-D2-C</v>
      </c>
      <c r="C44" s="67"/>
      <c r="D44" s="67"/>
      <c r="E44" s="67"/>
      <c r="F44" s="67"/>
      <c r="G44" s="67"/>
      <c r="H44" s="67"/>
      <c r="I44" s="36">
        <f t="shared" si="0"/>
        <v>0</v>
      </c>
      <c r="J44" s="36"/>
      <c r="K44" s="36"/>
      <c r="L44" s="67"/>
      <c r="M44" s="46"/>
    </row>
    <row r="45" spans="1:13" ht="12.5">
      <c r="A45" s="56" t="s">
        <v>607</v>
      </c>
      <c r="B45" s="87" t="str">
        <f>HYPERLINK("http://codeforces.com/contest/227/problem/C","CF227-D2-C")</f>
        <v>CF227-D2-C</v>
      </c>
      <c r="C45" s="67"/>
      <c r="D45" s="67"/>
      <c r="E45" s="67"/>
      <c r="F45" s="67"/>
      <c r="G45" s="67"/>
      <c r="H45" s="67"/>
      <c r="I45" s="36">
        <f t="shared" si="0"/>
        <v>0</v>
      </c>
      <c r="J45" s="36"/>
      <c r="K45" s="36"/>
      <c r="L45" s="10"/>
      <c r="M45" s="10"/>
    </row>
    <row r="46" spans="1:13" ht="12.5">
      <c r="A46" s="56" t="s">
        <v>608</v>
      </c>
      <c r="B46" s="87" t="str">
        <f>HYPERLINK("http://codeforces.com/contest/577/problem/C","CF577-D2-C")</f>
        <v>CF577-D2-C</v>
      </c>
      <c r="C46" s="67"/>
      <c r="D46" s="67"/>
      <c r="E46" s="67"/>
      <c r="F46" s="67"/>
      <c r="G46" s="67"/>
      <c r="H46" s="67"/>
      <c r="I46" s="36">
        <f t="shared" si="0"/>
        <v>0</v>
      </c>
      <c r="J46" s="36"/>
      <c r="K46" s="36"/>
      <c r="L46" s="10"/>
      <c r="M46" s="10"/>
    </row>
    <row r="47" spans="1:13" ht="12.5">
      <c r="A47" s="46" t="s">
        <v>609</v>
      </c>
      <c r="B47" s="147" t="str">
        <f>HYPERLINK("http://codeforces.com/contest/71/problem/C","CF71-D2-C")</f>
        <v>CF71-D2-C</v>
      </c>
      <c r="C47" s="67"/>
      <c r="D47" s="67"/>
      <c r="E47" s="67"/>
      <c r="F47" s="67"/>
      <c r="G47" s="67"/>
      <c r="H47" s="67"/>
      <c r="I47" s="36">
        <f t="shared" si="0"/>
        <v>0</v>
      </c>
      <c r="J47" s="36"/>
      <c r="K47" s="36"/>
      <c r="L47" s="67"/>
      <c r="M47" s="46"/>
    </row>
    <row r="48" spans="1:13" ht="12.5">
      <c r="A48" s="46" t="s">
        <v>610</v>
      </c>
      <c r="B48" s="147" t="str">
        <f>HYPERLINK("http://codeforces.com/contest/580/problem/C","CF580-D2-C")</f>
        <v>CF580-D2-C</v>
      </c>
      <c r="C48" s="67"/>
      <c r="D48" s="67"/>
      <c r="E48" s="67"/>
      <c r="F48" s="67"/>
      <c r="G48" s="67"/>
      <c r="H48" s="67"/>
      <c r="I48" s="36">
        <f t="shared" si="0"/>
        <v>0</v>
      </c>
      <c r="J48" s="36"/>
      <c r="K48" s="36"/>
      <c r="L48" s="67"/>
      <c r="M48" s="59" t="str">
        <f>HYPERLINK("https://www.youtube.com/watch?v=ebC3c-YJDIk","Video Solution - Solver to be (Java)")</f>
        <v>Video Solution - Solver to be (Java)</v>
      </c>
    </row>
    <row r="49" spans="1:13" ht="12.5">
      <c r="A49" s="56" t="s">
        <v>611</v>
      </c>
      <c r="B49" s="87" t="str">
        <f>HYPERLINK("http://codeforces.com/contest/357/problem/C","CF357-D2-C")</f>
        <v>CF357-D2-C</v>
      </c>
      <c r="C49" s="10"/>
      <c r="D49" s="10"/>
      <c r="E49" s="10"/>
      <c r="F49" s="10"/>
      <c r="G49" s="10"/>
      <c r="H49" s="10"/>
      <c r="I49" s="67">
        <f t="shared" si="0"/>
        <v>0</v>
      </c>
      <c r="J49" s="10"/>
      <c r="K49" s="10"/>
      <c r="L49" s="10"/>
      <c r="M49" s="10"/>
    </row>
    <row r="50" spans="1:13" ht="12.5">
      <c r="A50" s="150" t="s">
        <v>612</v>
      </c>
      <c r="B50" s="25" t="str">
        <f>HYPERLINK("http://codeforces.com/contest/219/problem/B","CF219-D2-B")</f>
        <v>CF219-D2-B</v>
      </c>
      <c r="C50" s="67"/>
      <c r="D50" s="67"/>
      <c r="E50" s="67"/>
      <c r="F50" s="67"/>
      <c r="G50" s="67"/>
      <c r="H50" s="67"/>
      <c r="I50" s="36">
        <f t="shared" si="0"/>
        <v>0</v>
      </c>
      <c r="J50" s="36"/>
      <c r="K50" s="36"/>
      <c r="L50" s="67"/>
      <c r="M50" s="56"/>
    </row>
    <row r="51" spans="1:13" ht="13">
      <c r="A51" s="56"/>
      <c r="B51" s="56"/>
      <c r="C51" s="67"/>
      <c r="D51" s="67"/>
      <c r="E51" s="67"/>
      <c r="F51" s="67"/>
      <c r="G51" s="67"/>
      <c r="H51" s="67"/>
      <c r="I51" s="36">
        <f t="shared" si="0"/>
        <v>0</v>
      </c>
      <c r="J51" s="36"/>
      <c r="K51" s="36"/>
      <c r="L51" s="67"/>
      <c r="M51" s="113" t="str">
        <f>HYPERLINK("https://www.youtube.com/watch?v=F0hmrbOW8nw","Watch - Thinking - Problem Abstraction ")</f>
        <v xml:space="preserve">Watch - Thinking - Problem Abstraction </v>
      </c>
    </row>
    <row r="52" spans="1:13" ht="13">
      <c r="A52" s="56"/>
      <c r="B52" s="56"/>
      <c r="C52" s="67"/>
      <c r="D52" s="67"/>
      <c r="E52" s="67"/>
      <c r="F52" s="67"/>
      <c r="G52" s="67"/>
      <c r="H52" s="67"/>
      <c r="I52" s="36">
        <f t="shared" si="0"/>
        <v>0</v>
      </c>
      <c r="J52" s="36"/>
      <c r="K52" s="36"/>
      <c r="L52" s="67"/>
      <c r="M52" s="113" t="str">
        <f>HYPERLINK("https://www.youtube.com/watch?v=0wlc8Rhyybo","Watch - Thinking - Problem Reverse")</f>
        <v>Watch - Thinking - Problem Reverse</v>
      </c>
    </row>
    <row r="53" spans="1:13" ht="13">
      <c r="A53" s="56"/>
      <c r="B53" s="56"/>
      <c r="C53" s="67"/>
      <c r="D53" s="67"/>
      <c r="E53" s="67"/>
      <c r="F53" s="67"/>
      <c r="G53" s="67"/>
      <c r="H53" s="67"/>
      <c r="I53" s="36">
        <f t="shared" si="0"/>
        <v>0</v>
      </c>
      <c r="J53" s="36"/>
      <c r="K53" s="36"/>
      <c r="L53" s="67"/>
      <c r="M53" s="110" t="str">
        <f>HYPERLINK("https://www.youtube.com/watch?v=hLXVhRzqq18","Watch - Search Techniques - Backtracking")</f>
        <v>Watch - Search Techniques - Backtracking</v>
      </c>
    </row>
    <row r="54" spans="1:13" ht="12.5">
      <c r="A54" s="74" t="s">
        <v>613</v>
      </c>
      <c r="B54" s="157" t="str">
        <f>HYPERLINK("https://uva.onlinejudge.org/index.php?option=com_onlinejudge&amp;Itemid=8&amp;page=show_problem&amp;problem=129","UVA 193")</f>
        <v>UVA 193</v>
      </c>
      <c r="C54" s="67"/>
      <c r="D54" s="67"/>
      <c r="E54" s="67"/>
      <c r="F54" s="67"/>
      <c r="G54" s="67"/>
      <c r="H54" s="67"/>
      <c r="I54" s="36">
        <f t="shared" si="0"/>
        <v>0</v>
      </c>
      <c r="J54" s="36"/>
      <c r="K54" s="36"/>
      <c r="L54" s="67"/>
      <c r="M54" s="136" t="str">
        <f>HYPERLINK("https://www.youtube.com/watch?v=0hOK2hgqNE4","Video Solution - Dr Mostafa Saad")</f>
        <v>Video Solution - Dr Mostafa Saad</v>
      </c>
    </row>
    <row r="55" spans="1:13" ht="12.5">
      <c r="A55" s="74" t="s">
        <v>614</v>
      </c>
      <c r="B55" s="128" t="str">
        <f>HYPERLINK("https://uva.onlinejudge.org/index.php?option=com_onlinejudge&amp;Itemid=8&amp;page=show_problem&amp;problem=1285","UVA 10344")</f>
        <v>UVA 10344</v>
      </c>
      <c r="C55" s="67"/>
      <c r="D55" s="67"/>
      <c r="E55" s="67"/>
      <c r="F55" s="67"/>
      <c r="G55" s="67"/>
      <c r="H55" s="67"/>
      <c r="I55" s="36">
        <f t="shared" si="0"/>
        <v>0</v>
      </c>
      <c r="J55" s="36"/>
      <c r="K55" s="36"/>
      <c r="L55" s="67"/>
      <c r="M55" s="136" t="str">
        <f>HYPERLINK("https://www.youtube.com/watch?v=WX7rIgcgnBs","Video Solution - Eng Mohamed Nasser")</f>
        <v>Video Solution - Eng Mohamed Nasser</v>
      </c>
    </row>
    <row r="56" spans="1:13" ht="12.5">
      <c r="A56" s="74" t="s">
        <v>615</v>
      </c>
      <c r="B56" s="128" t="str">
        <f>HYPERLINK("https://uva.onlinejudge.org/index.php?option=com_onlinejudge&amp;Itemid=8&amp;page=show_problem&amp;problem=691","UVA 750")</f>
        <v>UVA 750</v>
      </c>
      <c r="C56" s="67"/>
      <c r="D56" s="67"/>
      <c r="E56" s="67"/>
      <c r="F56" s="67"/>
      <c r="G56" s="67"/>
      <c r="H56" s="67"/>
      <c r="I56" s="36">
        <f t="shared" si="0"/>
        <v>0</v>
      </c>
      <c r="J56" s="36"/>
      <c r="K56" s="36"/>
      <c r="L56" s="67"/>
      <c r="M56" s="136" t="str">
        <f>HYPERLINK("https://www.youtube.com/watch?v=3jMlUYEVgL0","Video Solution - Eng Ayman Salah")</f>
        <v>Video Solution - Eng Ayman Salah</v>
      </c>
    </row>
    <row r="57" spans="1:13" ht="12.5">
      <c r="A57" s="79" t="s">
        <v>616</v>
      </c>
      <c r="B57" s="117" t="str">
        <f>HYPERLINK("https://uva.onlinejudge.org/index.php?option=onlinejudge&amp;page=show_problem&amp;problem=3276","UVA 12124")</f>
        <v>UVA 12124</v>
      </c>
      <c r="C57" s="67"/>
      <c r="D57" s="67"/>
      <c r="E57" s="67"/>
      <c r="F57" s="67"/>
      <c r="G57" s="67"/>
      <c r="H57" s="67"/>
      <c r="I57" s="36">
        <f t="shared" si="0"/>
        <v>0</v>
      </c>
      <c r="J57" s="36"/>
      <c r="K57" s="36"/>
      <c r="L57" s="67"/>
      <c r="M57" s="147" t="str">
        <f>HYPERLINK("https://github.com/mostafa-saad/MyCompetitiveProgramming/blob/master/UVA/UVA_12124.txt","Sol")</f>
        <v>Sol</v>
      </c>
    </row>
    <row r="58" spans="1:13" ht="12.5">
      <c r="A58" s="79"/>
      <c r="B58" s="79" t="s">
        <v>617</v>
      </c>
      <c r="C58" s="67"/>
      <c r="D58" s="67"/>
      <c r="E58" s="67"/>
      <c r="F58" s="67"/>
      <c r="G58" s="67"/>
      <c r="H58" s="67"/>
      <c r="I58" s="36">
        <f t="shared" si="0"/>
        <v>0</v>
      </c>
      <c r="J58" s="36"/>
      <c r="K58" s="36"/>
      <c r="L58" s="67"/>
      <c r="M58" s="147" t="str">
        <f>HYPERLINK("https://stackoverflow.com/questions/25281005/calculating-probability-for-funprob","Sol")</f>
        <v>Sol</v>
      </c>
    </row>
    <row r="59" spans="1:13" ht="12.5">
      <c r="A59" s="46"/>
      <c r="B59" s="46"/>
      <c r="C59" s="67"/>
      <c r="D59" s="67"/>
      <c r="E59" s="67"/>
      <c r="F59" s="67"/>
      <c r="G59" s="67"/>
      <c r="H59" s="67"/>
      <c r="I59" s="36">
        <f t="shared" si="0"/>
        <v>0</v>
      </c>
      <c r="J59" s="36"/>
      <c r="K59" s="36"/>
      <c r="L59" s="67"/>
      <c r="M59" s="46"/>
    </row>
    <row r="60" spans="1:13" ht="12.5">
      <c r="A60" s="46" t="s">
        <v>618</v>
      </c>
      <c r="B60" s="147" t="str">
        <f>HYPERLINK("http://codeforces.com/contest/424/problem/C","CF424-D2-C")</f>
        <v>CF424-D2-C</v>
      </c>
      <c r="C60" s="67"/>
      <c r="D60" s="67"/>
      <c r="E60" s="67"/>
      <c r="F60" s="67"/>
      <c r="G60" s="67"/>
      <c r="H60" s="67"/>
      <c r="I60" s="36">
        <f t="shared" si="0"/>
        <v>0</v>
      </c>
      <c r="J60" s="36"/>
      <c r="K60" s="36"/>
      <c r="L60" s="67"/>
      <c r="M60" s="56"/>
    </row>
    <row r="61" spans="1:13" ht="12.5">
      <c r="A61" s="46" t="s">
        <v>619</v>
      </c>
      <c r="B61" s="147" t="str">
        <f>HYPERLINK("http://codeforces.com/contest/707/problem/C","CF707-D2-C")</f>
        <v>CF707-D2-C</v>
      </c>
      <c r="C61" s="67"/>
      <c r="D61" s="67"/>
      <c r="E61" s="67"/>
      <c r="F61" s="67"/>
      <c r="G61" s="67"/>
      <c r="H61" s="67"/>
      <c r="I61" s="36">
        <f t="shared" si="0"/>
        <v>0</v>
      </c>
      <c r="J61" s="36"/>
      <c r="K61" s="36"/>
      <c r="L61" s="67"/>
      <c r="M61" s="56"/>
    </row>
    <row r="62" spans="1:13" ht="12.5">
      <c r="A62" s="46" t="s">
        <v>620</v>
      </c>
      <c r="B62" s="147" t="str">
        <f>HYPERLINK("http://codeforces.com/contest/560/problem/C","CF560-D2-C")</f>
        <v>CF560-D2-C</v>
      </c>
      <c r="C62" s="67"/>
      <c r="D62" s="67"/>
      <c r="E62" s="67"/>
      <c r="F62" s="67"/>
      <c r="G62" s="67"/>
      <c r="H62" s="67"/>
      <c r="I62" s="36">
        <f t="shared" si="0"/>
        <v>0</v>
      </c>
      <c r="J62" s="36"/>
      <c r="K62" s="36"/>
      <c r="L62" s="67"/>
      <c r="M62" s="156"/>
    </row>
    <row r="63" spans="1:13" ht="12.5">
      <c r="A63" s="56" t="s">
        <v>621</v>
      </c>
      <c r="B63" s="87" t="str">
        <f>HYPERLINK("http://codeforces.com/contest/252/problem/C","CF252-D2-C")</f>
        <v>CF252-D2-C</v>
      </c>
      <c r="C63" s="67"/>
      <c r="D63" s="67"/>
      <c r="E63" s="67"/>
      <c r="F63" s="67"/>
      <c r="G63" s="67"/>
      <c r="H63" s="67"/>
      <c r="I63" s="36">
        <f t="shared" si="0"/>
        <v>0</v>
      </c>
      <c r="J63" s="36"/>
      <c r="K63" s="36"/>
      <c r="L63" s="10"/>
      <c r="M63" s="10"/>
    </row>
    <row r="64" spans="1:13" ht="12.5">
      <c r="A64" s="56" t="s">
        <v>622</v>
      </c>
      <c r="B64" s="87" t="str">
        <f>HYPERLINK("http://codeforces.com/contest/353/problem/C","CF353-D2-C")</f>
        <v>CF353-D2-C</v>
      </c>
      <c r="C64" s="67"/>
      <c r="D64" s="67"/>
      <c r="E64" s="67"/>
      <c r="F64" s="67"/>
      <c r="G64" s="67"/>
      <c r="H64" s="67"/>
      <c r="I64" s="36">
        <f t="shared" si="0"/>
        <v>0</v>
      </c>
      <c r="J64" s="36"/>
      <c r="K64" s="36"/>
      <c r="L64" s="10"/>
      <c r="M64" s="10"/>
    </row>
    <row r="65" spans="1:13" ht="12.5">
      <c r="A65" s="150" t="s">
        <v>623</v>
      </c>
      <c r="B65" s="25" t="str">
        <f>HYPERLINK("http://codeforces.com/contest/450/problem/B","CF450-D2-B")</f>
        <v>CF450-D2-B</v>
      </c>
      <c r="C65" s="67"/>
      <c r="D65" s="67"/>
      <c r="E65" s="67"/>
      <c r="F65" s="67"/>
      <c r="G65" s="67"/>
      <c r="H65" s="67"/>
      <c r="I65" s="36">
        <f t="shared" si="0"/>
        <v>0</v>
      </c>
      <c r="J65" s="36"/>
      <c r="K65" s="36"/>
      <c r="L65" s="67"/>
      <c r="M65" s="46"/>
    </row>
    <row r="66" spans="1:13" ht="12.5">
      <c r="A66" s="150" t="s">
        <v>624</v>
      </c>
      <c r="B66" s="25" t="str">
        <f>HYPERLINK("http://codeforces.com/contest/570/problem/B","CF570-D2-B")</f>
        <v>CF570-D2-B</v>
      </c>
      <c r="C66" s="67"/>
      <c r="D66" s="67"/>
      <c r="E66" s="67"/>
      <c r="F66" s="67"/>
      <c r="G66" s="67"/>
      <c r="H66" s="67"/>
      <c r="I66" s="36">
        <f t="shared" si="0"/>
        <v>0</v>
      </c>
      <c r="J66" s="36"/>
      <c r="K66" s="36"/>
      <c r="L66" s="67"/>
      <c r="M66" s="46"/>
    </row>
    <row r="67" spans="1:13" ht="12.5">
      <c r="A67" s="150" t="s">
        <v>625</v>
      </c>
      <c r="B67" s="25" t="str">
        <f>HYPERLINK("http://codeforces.com/contest/271/problem/B","CF271-D2-B")</f>
        <v>CF271-D2-B</v>
      </c>
      <c r="C67" s="67"/>
      <c r="D67" s="67"/>
      <c r="E67" s="67"/>
      <c r="F67" s="67"/>
      <c r="G67" s="67"/>
      <c r="H67" s="67"/>
      <c r="I67" s="36">
        <f t="shared" si="0"/>
        <v>0</v>
      </c>
      <c r="J67" s="36"/>
      <c r="K67" s="36"/>
      <c r="L67" s="67"/>
      <c r="M67" s="46"/>
    </row>
    <row r="68" spans="1:13" ht="13">
      <c r="A68" s="56"/>
      <c r="B68" s="156"/>
      <c r="C68" s="67"/>
      <c r="D68" s="67"/>
      <c r="E68" s="67"/>
      <c r="F68" s="67"/>
      <c r="G68" s="67"/>
      <c r="H68" s="67"/>
      <c r="I68" s="36">
        <f t="shared" si="0"/>
        <v>0</v>
      </c>
      <c r="J68" s="36"/>
      <c r="K68" s="36"/>
      <c r="L68" s="67"/>
      <c r="M68" s="127" t="str">
        <f>HYPERLINK("https://www.youtube.com/watch?v=ldwGf-iVsdU&amp;t=2s&amp;list=PLPt2dINI2MIZPFq6HyUB1Uhxdh1UDnZMS","Review bitmasking")</f>
        <v>Review bitmasking</v>
      </c>
    </row>
    <row r="69" spans="1:13" ht="13">
      <c r="A69" s="56"/>
      <c r="B69" s="156"/>
      <c r="C69" s="67"/>
      <c r="D69" s="67"/>
      <c r="E69" s="67"/>
      <c r="F69" s="67"/>
      <c r="G69" s="67"/>
      <c r="H69" s="67"/>
      <c r="I69" s="36">
        <f t="shared" si="0"/>
        <v>0</v>
      </c>
      <c r="J69" s="36"/>
      <c r="K69" s="36"/>
      <c r="L69" s="67"/>
      <c r="M69" s="110" t="str">
        <f>HYPERLINK("https://www.youtube.com/watch?v=vAqaki1BhS0","Watch - DP - Subset Style")</f>
        <v>Watch - DP - Subset Style</v>
      </c>
    </row>
    <row r="70" spans="1:13" ht="12.5">
      <c r="A70" s="74" t="s">
        <v>626</v>
      </c>
      <c r="B70" s="158" t="str">
        <f>HYPERLINK("https://uva.onlinejudge.org/index.php?option=onlinejudge&amp;page=show_problem&amp;problem=1133","UVA 10192")</f>
        <v>UVA 10192</v>
      </c>
      <c r="C70" s="67"/>
      <c r="D70" s="67"/>
      <c r="E70" s="67"/>
      <c r="F70" s="67"/>
      <c r="G70" s="67"/>
      <c r="H70" s="67"/>
      <c r="I70" s="36">
        <f t="shared" si="0"/>
        <v>0</v>
      </c>
      <c r="J70" s="36"/>
      <c r="K70" s="36"/>
      <c r="L70" s="10"/>
      <c r="M70" s="159" t="s">
        <v>627</v>
      </c>
    </row>
    <row r="71" spans="1:13" ht="12.5">
      <c r="A71" s="74" t="s">
        <v>628</v>
      </c>
      <c r="B71" s="158" t="str">
        <f>HYPERLINK("https://uva.onlinejudge.org/index.php?option=com_onlinejudge&amp;Itemid=8&amp;page=show_problem&amp;problem=503","UVA 562")</f>
        <v>UVA 562</v>
      </c>
      <c r="C71" s="67"/>
      <c r="D71" s="67"/>
      <c r="E71" s="67"/>
      <c r="F71" s="67"/>
      <c r="G71" s="67"/>
      <c r="H71" s="67"/>
      <c r="I71" s="36">
        <f t="shared" si="0"/>
        <v>0</v>
      </c>
      <c r="J71" s="36"/>
      <c r="K71" s="36"/>
      <c r="L71" s="10"/>
      <c r="M71" s="136" t="str">
        <f>HYPERLINK("https://www.youtube.com/watch?v=HN-oKkysTmc","Video Solution - Eng Ayman Salah")</f>
        <v>Video Solution - Eng Ayman Salah</v>
      </c>
    </row>
    <row r="72" spans="1:13" ht="13">
      <c r="A72" s="56"/>
      <c r="B72" s="156"/>
      <c r="C72" s="67"/>
      <c r="D72" s="67"/>
      <c r="E72" s="67"/>
      <c r="F72" s="67"/>
      <c r="G72" s="67"/>
      <c r="H72" s="67"/>
      <c r="I72" s="36">
        <f t="shared" si="0"/>
        <v>0</v>
      </c>
      <c r="J72" s="36"/>
      <c r="K72" s="36"/>
      <c r="L72" s="67"/>
      <c r="M72" s="110" t="str">
        <f>HYPERLINK("https://www.youtube.com/watch?v=bDlAqeWsKsg","Watch - DP - Consecutive Ranges Style")</f>
        <v>Watch - DP - Consecutive Ranges Style</v>
      </c>
    </row>
    <row r="73" spans="1:13" ht="13">
      <c r="A73" s="74"/>
      <c r="B73" s="74" t="s">
        <v>629</v>
      </c>
      <c r="C73" s="67"/>
      <c r="D73" s="67"/>
      <c r="E73" s="67"/>
      <c r="F73" s="67"/>
      <c r="G73" s="67"/>
      <c r="H73" s="67"/>
      <c r="I73" s="36">
        <f t="shared" si="0"/>
        <v>0</v>
      </c>
      <c r="J73" s="36"/>
      <c r="K73" s="36"/>
      <c r="L73" s="67"/>
      <c r="M73" s="110"/>
    </row>
    <row r="74" spans="1:13" ht="13">
      <c r="A74" s="74"/>
      <c r="B74" s="74" t="s">
        <v>630</v>
      </c>
      <c r="C74" s="67"/>
      <c r="D74" s="67"/>
      <c r="E74" s="67"/>
      <c r="F74" s="67"/>
      <c r="G74" s="67"/>
      <c r="H74" s="67"/>
      <c r="I74" s="36">
        <f t="shared" si="0"/>
        <v>0</v>
      </c>
      <c r="J74" s="36"/>
      <c r="K74" s="36"/>
      <c r="L74" s="67"/>
      <c r="M74" s="110"/>
    </row>
    <row r="75" spans="1:13" ht="12.5">
      <c r="A75" s="79" t="s">
        <v>631</v>
      </c>
      <c r="B75" s="117" t="str">
        <f>HYPERLINK("https://uva.onlinejudge.org/index.php?option=com_onlinejudge&amp;Itemid=8&amp;page=show_problem&amp;problem=37","UVA 101")</f>
        <v>UVA 101</v>
      </c>
      <c r="C75" s="67"/>
      <c r="D75" s="67"/>
      <c r="E75" s="67"/>
      <c r="F75" s="67"/>
      <c r="G75" s="67"/>
      <c r="H75" s="67"/>
      <c r="I75" s="36">
        <f t="shared" si="0"/>
        <v>0</v>
      </c>
      <c r="J75" s="36"/>
      <c r="K75" s="36"/>
      <c r="L75" s="67"/>
      <c r="M75" s="160" t="s">
        <v>632</v>
      </c>
    </row>
    <row r="76" spans="1:13" ht="12.5">
      <c r="A76" s="79" t="s">
        <v>633</v>
      </c>
      <c r="B76" s="117" t="str">
        <f>HYPERLINK("https://uva.onlinejudge.org/index.php?option=com_onlinejudge&amp;Itemid=8&amp;page=show_problem&amp;problem=977","UVA 10036")</f>
        <v>UVA 10036</v>
      </c>
      <c r="C76" s="67"/>
      <c r="D76" s="67"/>
      <c r="E76" s="67"/>
      <c r="F76" s="67"/>
      <c r="G76" s="67"/>
      <c r="H76" s="67"/>
      <c r="I76" s="36">
        <f t="shared" si="0"/>
        <v>0</v>
      </c>
      <c r="J76" s="36"/>
      <c r="K76" s="36"/>
      <c r="L76" s="67"/>
      <c r="M76" s="160" t="s">
        <v>632</v>
      </c>
    </row>
    <row r="77" spans="1:13" ht="12.5">
      <c r="A77" s="79"/>
      <c r="B77" s="79" t="s">
        <v>634</v>
      </c>
      <c r="C77" s="67"/>
      <c r="D77" s="67"/>
      <c r="E77" s="67"/>
      <c r="F77" s="67"/>
      <c r="G77" s="67"/>
      <c r="H77" s="67"/>
      <c r="I77" s="36">
        <f t="shared" si="0"/>
        <v>0</v>
      </c>
      <c r="J77" s="36"/>
      <c r="K77" s="36"/>
      <c r="L77" s="67"/>
      <c r="M77" s="147" t="str">
        <f>HYPERLINK("https://github.com/mostafa-saad/MyCompetitiveProgramming/blob/master/UVA/UVA_11628.txt","Sol")</f>
        <v>Sol</v>
      </c>
    </row>
    <row r="78" spans="1:13" ht="12.5">
      <c r="A78" s="46"/>
      <c r="B78" s="46"/>
      <c r="C78" s="67"/>
      <c r="D78" s="67"/>
      <c r="E78" s="67"/>
      <c r="F78" s="67"/>
      <c r="G78" s="67"/>
      <c r="H78" s="67"/>
      <c r="I78" s="36">
        <f t="shared" si="0"/>
        <v>0</v>
      </c>
      <c r="J78" s="36"/>
      <c r="K78" s="36"/>
      <c r="L78" s="67"/>
      <c r="M78" s="46"/>
    </row>
    <row r="79" spans="1:13" ht="12.5">
      <c r="A79" s="56" t="s">
        <v>635</v>
      </c>
      <c r="B79" s="87" t="str">
        <f>HYPERLINK("http://codeforces.com/contest/344/problem/C","CF344-D2-C")</f>
        <v>CF344-D2-C</v>
      </c>
      <c r="C79" s="67"/>
      <c r="D79" s="67"/>
      <c r="E79" s="67"/>
      <c r="F79" s="67"/>
      <c r="G79" s="67"/>
      <c r="H79" s="67"/>
      <c r="I79" s="36">
        <f t="shared" si="0"/>
        <v>0</v>
      </c>
      <c r="J79" s="10"/>
      <c r="K79" s="10"/>
      <c r="L79" s="10"/>
      <c r="M79" s="46"/>
    </row>
    <row r="80" spans="1:13" ht="12.5">
      <c r="A80" s="46" t="s">
        <v>636</v>
      </c>
      <c r="B80" s="147" t="str">
        <f>HYPERLINK("http://codeforces.com/contest/275/problem/C","CF275-D2-C")</f>
        <v>CF275-D2-C</v>
      </c>
      <c r="C80" s="67"/>
      <c r="D80" s="67"/>
      <c r="E80" s="67"/>
      <c r="F80" s="67"/>
      <c r="G80" s="67"/>
      <c r="H80" s="67"/>
      <c r="I80" s="36">
        <f t="shared" si="0"/>
        <v>0</v>
      </c>
      <c r="J80" s="36"/>
      <c r="K80" s="36"/>
      <c r="L80" s="67"/>
      <c r="M80" s="56"/>
    </row>
    <row r="81" spans="1:13" ht="12.5">
      <c r="A81" s="56" t="s">
        <v>637</v>
      </c>
      <c r="B81" s="87" t="str">
        <f>HYPERLINK("http://codeforces.com/contest/534/problem/C","CF534-D2-C")</f>
        <v>CF534-D2-C</v>
      </c>
      <c r="C81" s="67"/>
      <c r="D81" s="67"/>
      <c r="E81" s="67"/>
      <c r="F81" s="67"/>
      <c r="G81" s="67"/>
      <c r="H81" s="67"/>
      <c r="I81" s="36">
        <f t="shared" si="0"/>
        <v>0</v>
      </c>
      <c r="J81" s="36"/>
      <c r="K81" s="36"/>
      <c r="L81" s="10"/>
      <c r="M81" s="161" t="str">
        <f>HYPERLINK("https://codeforces.com/contest/534/submission/61924545","Sol")</f>
        <v>Sol</v>
      </c>
    </row>
    <row r="82" spans="1:13" ht="12.5">
      <c r="A82" s="150" t="s">
        <v>638</v>
      </c>
      <c r="B82" s="25" t="str">
        <f>HYPERLINK("http://codeforces.com/contest/631/problem/B","CF631-D2-B")</f>
        <v>CF631-D2-B</v>
      </c>
      <c r="C82" s="67"/>
      <c r="D82" s="67"/>
      <c r="E82" s="67"/>
      <c r="F82" s="67"/>
      <c r="G82" s="67"/>
      <c r="H82" s="67"/>
      <c r="I82" s="36">
        <f t="shared" si="0"/>
        <v>0</v>
      </c>
      <c r="J82" s="36"/>
      <c r="K82" s="36"/>
      <c r="L82" s="10"/>
      <c r="M82" s="10"/>
    </row>
    <row r="83" spans="1:13" ht="12.5">
      <c r="A83" s="150" t="s">
        <v>639</v>
      </c>
      <c r="B83" s="25" t="str">
        <f>HYPERLINK("http://codeforces.com/contest/257/problem/B","CF257-D2-B")</f>
        <v>CF257-D2-B</v>
      </c>
      <c r="C83" s="67"/>
      <c r="D83" s="67"/>
      <c r="E83" s="67"/>
      <c r="F83" s="67"/>
      <c r="G83" s="67"/>
      <c r="H83" s="67"/>
      <c r="I83" s="36">
        <f t="shared" si="0"/>
        <v>0</v>
      </c>
      <c r="J83" s="36"/>
      <c r="K83" s="36"/>
      <c r="L83" s="10"/>
      <c r="M83" s="10"/>
    </row>
    <row r="84" spans="1:13" ht="12.5">
      <c r="A84" s="150" t="s">
        <v>640</v>
      </c>
      <c r="B84" s="25" t="str">
        <f>HYPERLINK("http://codeforces.com/contest/230/problem/B","CF230-D2-B")</f>
        <v>CF230-D2-B</v>
      </c>
      <c r="C84" s="67"/>
      <c r="D84" s="67"/>
      <c r="E84" s="67"/>
      <c r="F84" s="67"/>
      <c r="G84" s="67"/>
      <c r="H84" s="67"/>
      <c r="I84" s="36">
        <f t="shared" si="0"/>
        <v>0</v>
      </c>
      <c r="J84" s="36"/>
      <c r="K84" s="36"/>
      <c r="L84" s="10"/>
      <c r="M84" s="10"/>
    </row>
    <row r="85" spans="1:13" ht="13">
      <c r="A85" s="56"/>
      <c r="B85" s="156"/>
      <c r="C85" s="67"/>
      <c r="D85" s="67"/>
      <c r="E85" s="67"/>
      <c r="F85" s="67"/>
      <c r="G85" s="67"/>
      <c r="H85" s="67"/>
      <c r="I85" s="36">
        <f t="shared" si="0"/>
        <v>0</v>
      </c>
      <c r="J85" s="36"/>
      <c r="K85" s="36"/>
      <c r="L85" s="67"/>
      <c r="M85" s="110" t="str">
        <f>HYPERLINK("https://www.youtube.com/watch?v=b4AC2jGNGEM","Watch - DP - Nested Ranges Style")</f>
        <v>Watch - DP - Nested Ranges Style</v>
      </c>
    </row>
    <row r="86" spans="1:13" ht="13">
      <c r="A86" s="56"/>
      <c r="B86" s="156"/>
      <c r="C86" s="67"/>
      <c r="D86" s="67"/>
      <c r="E86" s="67"/>
      <c r="F86" s="67"/>
      <c r="G86" s="67"/>
      <c r="H86" s="67"/>
      <c r="I86" s="36">
        <f t="shared" si="0"/>
        <v>0</v>
      </c>
      <c r="J86" s="36"/>
      <c r="K86" s="36"/>
      <c r="L86" s="67"/>
      <c r="M86" s="113" t="str">
        <f>HYPERLINK("https://www.youtube.com/watch?v=pJbeTrSKl3Y","Watch - DP - General Ranges Style")</f>
        <v>Watch - DP - General Ranges Style</v>
      </c>
    </row>
    <row r="87" spans="1:13" ht="12.5">
      <c r="A87" s="74" t="s">
        <v>641</v>
      </c>
      <c r="B87" s="128" t="str">
        <f>HYPERLINK("https://uva.onlinejudge.org/index.php?option=com_onlinejudge&amp;Itemid=8&amp;page=show_problem&amp;problem=2853","UVA 11753")</f>
        <v>UVA 11753</v>
      </c>
      <c r="C87" s="67"/>
      <c r="D87" s="67"/>
      <c r="E87" s="67"/>
      <c r="F87" s="67"/>
      <c r="G87" s="67"/>
      <c r="H87" s="67"/>
      <c r="I87" s="36">
        <f t="shared" si="0"/>
        <v>0</v>
      </c>
      <c r="J87" s="36"/>
      <c r="K87" s="36"/>
      <c r="L87" s="67"/>
      <c r="M87" s="116" t="str">
        <f>HYPERLINK("https://www.youtube.com/watch?v=1fP2Rl0-rWk","Video Solution - Eng Aya Elymany")</f>
        <v>Video Solution - Eng Aya Elymany</v>
      </c>
    </row>
    <row r="88" spans="1:13" ht="12.5">
      <c r="A88" s="74" t="s">
        <v>642</v>
      </c>
      <c r="B88" s="128" t="str">
        <f>HYPERLINK("https://uva.onlinejudge.org/index.php?option=com_onlinejudge&amp;Itemid=8&amp;page=show_problem&amp;problem=1558","UVA 10617")</f>
        <v>UVA 10617</v>
      </c>
      <c r="C88" s="67"/>
      <c r="D88" s="67"/>
      <c r="E88" s="67"/>
      <c r="F88" s="67"/>
      <c r="G88" s="67"/>
      <c r="H88" s="67"/>
      <c r="I88" s="36">
        <f t="shared" si="0"/>
        <v>0</v>
      </c>
      <c r="J88" s="36"/>
      <c r="K88" s="36"/>
      <c r="L88" s="10"/>
      <c r="M88" s="95" t="str">
        <f>HYPERLINK("https://github.com/magdy-hasan/competitive-programming/blob/master/uva-/uva%2010617%20-%20Again%20Palindrome.cpp","Sol to read")</f>
        <v>Sol to read</v>
      </c>
    </row>
    <row r="89" spans="1:13" ht="12.5">
      <c r="A89" s="74" t="s">
        <v>643</v>
      </c>
      <c r="B89" s="128" t="str">
        <f>HYPERLINK("https://uva.onlinejudge.org/index.php?option=com_onlinejudge&amp;Itemid=8&amp;page=show_problem&amp;problem=4108","UVA 1362")</f>
        <v>UVA 1362</v>
      </c>
      <c r="C89" s="67"/>
      <c r="D89" s="67"/>
      <c r="E89" s="67"/>
      <c r="F89" s="67"/>
      <c r="G89" s="67"/>
      <c r="H89" s="67"/>
      <c r="I89" s="36">
        <f t="shared" si="0"/>
        <v>0</v>
      </c>
      <c r="J89" s="36"/>
      <c r="K89" s="36"/>
      <c r="L89" s="67"/>
      <c r="M89" s="116" t="str">
        <f>HYPERLINK("https://www.youtube.com/watch?v=NTxsccxXCW0","Video Solution - Eng Ayman Salah")</f>
        <v>Video Solution - Eng Ayman Salah</v>
      </c>
    </row>
    <row r="90" spans="1:13" ht="12.5">
      <c r="A90" s="74" t="s">
        <v>644</v>
      </c>
      <c r="B90" s="128" t="str">
        <f>HYPERLINK("https://uva.onlinejudge.org/index.php?option=com_onlinejudge&amp;Itemid=8&amp;page=show_problem&amp;problem=944","UVA 10003")</f>
        <v>UVA 10003</v>
      </c>
      <c r="C90" s="67"/>
      <c r="D90" s="67"/>
      <c r="E90" s="67"/>
      <c r="F90" s="67"/>
      <c r="G90" s="67"/>
      <c r="H90" s="67"/>
      <c r="I90" s="36">
        <f t="shared" si="0"/>
        <v>0</v>
      </c>
      <c r="J90" s="36"/>
      <c r="K90" s="36"/>
      <c r="L90" s="10"/>
      <c r="M90" s="10"/>
    </row>
    <row r="91" spans="1:13" ht="12.5">
      <c r="A91" s="79" t="s">
        <v>645</v>
      </c>
      <c r="B91" s="117" t="str">
        <f>HYPERLINK("https://uva.onlinejudge.org/index.php?option=com_onlinejudge&amp;Itemid=8&amp;page=show_problem&amp;problem=284","UVA 348")</f>
        <v>UVA 348</v>
      </c>
      <c r="C91" s="67"/>
      <c r="D91" s="67"/>
      <c r="E91" s="67"/>
      <c r="F91" s="67"/>
      <c r="G91" s="67"/>
      <c r="H91" s="67"/>
      <c r="I91" s="36">
        <f t="shared" si="0"/>
        <v>0</v>
      </c>
      <c r="J91" s="36"/>
      <c r="K91" s="36"/>
      <c r="L91" s="67"/>
      <c r="M91" s="147" t="str">
        <f>HYPERLINK("https://github.com/mostafa-saad/MyCompetitiveProgramming/blob/master/UVA/UVA_348.txt","Sol")</f>
        <v>Sol</v>
      </c>
    </row>
    <row r="92" spans="1:13" ht="12.5">
      <c r="A92" s="79" t="s">
        <v>646</v>
      </c>
      <c r="B92" s="117" t="str">
        <f>HYPERLINK("https://uva.onlinejudge.org/index.php?option=onlinejudge&amp;page=show_problem&amp;problem=63","UVA 127")</f>
        <v>UVA 127</v>
      </c>
      <c r="C92" s="67"/>
      <c r="D92" s="67"/>
      <c r="E92" s="67"/>
      <c r="F92" s="67"/>
      <c r="G92" s="67"/>
      <c r="H92" s="67"/>
      <c r="I92" s="36">
        <f t="shared" si="0"/>
        <v>0</v>
      </c>
      <c r="J92" s="36"/>
      <c r="K92" s="36"/>
      <c r="L92" s="67"/>
      <c r="M92" s="116" t="str">
        <f>HYPERLINK("https://www.youtube.com/watch?v=fSZRRUPm0ro&amp;feature=youtu.be","Video Solution - Eng Moaz Rashad")</f>
        <v>Video Solution - Eng Moaz Rashad</v>
      </c>
    </row>
    <row r="93" spans="1:13" ht="12.5">
      <c r="A93" s="79" t="s">
        <v>647</v>
      </c>
      <c r="B93" s="117" t="str">
        <f>HYPERLINK("https://uva.onlinejudge.org/index.php?option=com_onlinejudge&amp;Itemid=8&amp;page=show_problem&amp;problem=64","UVA 128")</f>
        <v>UVA 128</v>
      </c>
      <c r="C93" s="67"/>
      <c r="D93" s="67"/>
      <c r="E93" s="67"/>
      <c r="F93" s="67"/>
      <c r="G93" s="67"/>
      <c r="H93" s="67"/>
      <c r="I93" s="36">
        <f t="shared" si="0"/>
        <v>0</v>
      </c>
      <c r="J93" s="36"/>
      <c r="K93" s="36"/>
      <c r="L93" s="67"/>
      <c r="M93" s="116" t="str">
        <f>HYPERLINK("https://www.youtube.com/watch?v=ifTqIif9WJg","Video Solution - Eng Moaz Rashad")</f>
        <v>Video Solution - Eng Moaz Rashad</v>
      </c>
    </row>
    <row r="94" spans="1:13" ht="12.5">
      <c r="A94" s="79"/>
      <c r="B94" s="149" t="s">
        <v>648</v>
      </c>
      <c r="C94" s="67"/>
      <c r="D94" s="67"/>
      <c r="E94" s="67"/>
      <c r="F94" s="67"/>
      <c r="G94" s="67"/>
      <c r="H94" s="67"/>
      <c r="I94" s="36">
        <f t="shared" si="0"/>
        <v>0</v>
      </c>
      <c r="J94" s="36"/>
      <c r="K94" s="36"/>
      <c r="L94" s="67"/>
      <c r="M94" s="116" t="s">
        <v>632</v>
      </c>
    </row>
    <row r="95" spans="1:13" ht="12.5">
      <c r="A95" s="46"/>
      <c r="B95" s="46"/>
      <c r="C95" s="67"/>
      <c r="D95" s="67"/>
      <c r="E95" s="67"/>
      <c r="F95" s="67"/>
      <c r="G95" s="67"/>
      <c r="H95" s="67"/>
      <c r="I95" s="36">
        <f t="shared" si="0"/>
        <v>0</v>
      </c>
      <c r="J95" s="36"/>
      <c r="K95" s="36"/>
      <c r="L95" s="67"/>
      <c r="M95" s="156"/>
    </row>
    <row r="96" spans="1:13" ht="12.5">
      <c r="A96" s="46" t="s">
        <v>649</v>
      </c>
      <c r="B96" s="147" t="str">
        <f>HYPERLINK("http://codeforces.com/contest/378/problem/C","CF378-D2-C")</f>
        <v>CF378-D2-C</v>
      </c>
      <c r="C96" s="67"/>
      <c r="D96" s="67"/>
      <c r="E96" s="67"/>
      <c r="F96" s="67"/>
      <c r="G96" s="67"/>
      <c r="H96" s="67"/>
      <c r="I96" s="36">
        <f t="shared" si="0"/>
        <v>0</v>
      </c>
      <c r="J96" s="36"/>
      <c r="K96" s="36"/>
      <c r="L96" s="67"/>
      <c r="M96" s="56"/>
    </row>
    <row r="97" spans="1:13" ht="12.5">
      <c r="A97" s="46" t="s">
        <v>650</v>
      </c>
      <c r="B97" s="147" t="str">
        <f>HYPERLINK("http://codeforces.com/contest/705/problem/C","CF705-D2-C")</f>
        <v>CF705-D2-C</v>
      </c>
      <c r="C97" s="67"/>
      <c r="D97" s="67"/>
      <c r="E97" s="67"/>
      <c r="F97" s="67"/>
      <c r="G97" s="67"/>
      <c r="H97" s="67"/>
      <c r="I97" s="36">
        <f t="shared" si="0"/>
        <v>0</v>
      </c>
      <c r="J97" s="36"/>
      <c r="K97" s="36"/>
      <c r="L97" s="67"/>
      <c r="M97" s="46"/>
    </row>
    <row r="98" spans="1:13" ht="12.5">
      <c r="A98" s="46" t="s">
        <v>651</v>
      </c>
      <c r="B98" s="147" t="str">
        <f>HYPERLINK("http://codeforces.com/contest/706/problem/C","CF706-D2-C")</f>
        <v>CF706-D2-C</v>
      </c>
      <c r="C98" s="67"/>
      <c r="D98" s="67"/>
      <c r="E98" s="67"/>
      <c r="F98" s="67"/>
      <c r="G98" s="67"/>
      <c r="H98" s="67"/>
      <c r="I98" s="36">
        <f t="shared" si="0"/>
        <v>0</v>
      </c>
      <c r="J98" s="36"/>
      <c r="K98" s="36"/>
      <c r="L98" s="67"/>
      <c r="M98" s="46"/>
    </row>
    <row r="99" spans="1:13" ht="12.5">
      <c r="A99" s="46" t="s">
        <v>652</v>
      </c>
      <c r="B99" s="147" t="str">
        <f>HYPERLINK("http://codeforces.com/contest/405/problem/C","CF405-D2-C")</f>
        <v>CF405-D2-C</v>
      </c>
      <c r="C99" s="67"/>
      <c r="D99" s="67"/>
      <c r="E99" s="67"/>
      <c r="F99" s="67"/>
      <c r="G99" s="67"/>
      <c r="H99" s="67"/>
      <c r="I99" s="36">
        <f t="shared" si="0"/>
        <v>0</v>
      </c>
      <c r="J99" s="36"/>
      <c r="K99" s="36"/>
      <c r="L99" s="67"/>
      <c r="M99" s="46"/>
    </row>
    <row r="100" spans="1:13" ht="12.5">
      <c r="A100" s="46" t="s">
        <v>653</v>
      </c>
      <c r="B100" s="147" t="str">
        <f>HYPERLINK("http://codeforces.com/contest/486/problem/C","CF486-D2-C")</f>
        <v>CF486-D2-C</v>
      </c>
      <c r="C100" s="67"/>
      <c r="D100" s="67"/>
      <c r="E100" s="67"/>
      <c r="F100" s="67"/>
      <c r="G100" s="67"/>
      <c r="H100" s="67"/>
      <c r="I100" s="36">
        <f t="shared" si="0"/>
        <v>0</v>
      </c>
      <c r="J100" s="36"/>
      <c r="K100" s="36"/>
      <c r="L100" s="67"/>
      <c r="M100" s="46"/>
    </row>
    <row r="101" spans="1:13" ht="12.5">
      <c r="A101" s="56" t="s">
        <v>654</v>
      </c>
      <c r="B101" s="87" t="str">
        <f>HYPERLINK("http://codeforces.com/contest/496/problem/C","CF496-D2-C")</f>
        <v>CF496-D2-C</v>
      </c>
      <c r="C101" s="67"/>
      <c r="D101" s="67"/>
      <c r="E101" s="67"/>
      <c r="F101" s="67"/>
      <c r="G101" s="67"/>
      <c r="H101" s="67"/>
      <c r="I101" s="36">
        <f t="shared" si="0"/>
        <v>0</v>
      </c>
      <c r="J101" s="36"/>
      <c r="K101" s="36"/>
      <c r="L101" s="10"/>
      <c r="M101" s="162" t="str">
        <f>HYPERLINK("https://www.youtube.com/watch?v=skSCRsMLPMI","Video Solution - Dr Mostafa Saad")</f>
        <v>Video Solution - Dr Mostafa Saad</v>
      </c>
    </row>
    <row r="102" spans="1:13" ht="12.5">
      <c r="A102" s="56" t="s">
        <v>655</v>
      </c>
      <c r="B102" s="87" t="str">
        <f>HYPERLINK("http://codeforces.com/contest/499/problem/C","CF499-D2-C")</f>
        <v>CF499-D2-C</v>
      </c>
      <c r="C102" s="67"/>
      <c r="D102" s="67"/>
      <c r="E102" s="67"/>
      <c r="F102" s="67"/>
      <c r="G102" s="67"/>
      <c r="H102" s="67"/>
      <c r="I102" s="36">
        <f t="shared" si="0"/>
        <v>0</v>
      </c>
      <c r="J102" s="10"/>
      <c r="K102" s="10"/>
      <c r="L102" s="10"/>
      <c r="M102" s="156" t="str">
        <f>HYPERLINK("https://www.youtube.com/watch?v=xwaGi6lx6Fg","Video Solution - Dr Mostafa Saad")</f>
        <v>Video Solution - Dr Mostafa Saad</v>
      </c>
    </row>
    <row r="103" spans="1:13" ht="12.5">
      <c r="A103" s="150" t="s">
        <v>656</v>
      </c>
      <c r="B103" s="25" t="str">
        <f>HYPERLINK("http://codeforces.com/contest/490/problem/B","CF490-D2-B")</f>
        <v>CF490-D2-B</v>
      </c>
      <c r="C103" s="67"/>
      <c r="D103" s="67"/>
      <c r="E103" s="67"/>
      <c r="F103" s="67"/>
      <c r="G103" s="67"/>
      <c r="H103" s="67"/>
      <c r="I103" s="36">
        <f t="shared" si="0"/>
        <v>0</v>
      </c>
      <c r="J103" s="10"/>
      <c r="K103" s="10"/>
      <c r="L103" s="10"/>
      <c r="M103" s="156"/>
    </row>
    <row r="104" spans="1:13" ht="12.5">
      <c r="A104" s="150" t="s">
        <v>657</v>
      </c>
      <c r="B104" s="25" t="str">
        <f>HYPERLINK("http://codeforces.com/contest/610/problem/B","CF610-D2-B")</f>
        <v>CF610-D2-B</v>
      </c>
      <c r="C104" s="67"/>
      <c r="D104" s="67"/>
      <c r="E104" s="67"/>
      <c r="F104" s="67"/>
      <c r="G104" s="67"/>
      <c r="H104" s="67"/>
      <c r="I104" s="36">
        <f t="shared" si="0"/>
        <v>0</v>
      </c>
      <c r="J104" s="10"/>
      <c r="K104" s="10"/>
      <c r="L104" s="10"/>
      <c r="M104" s="156"/>
    </row>
    <row r="105" spans="1:13" ht="12.5">
      <c r="A105" s="150" t="s">
        <v>658</v>
      </c>
      <c r="B105" s="25" t="str">
        <f>HYPERLINK("http://codeforces.com/contest/222/problem/B","CF222-D2-B")</f>
        <v>CF222-D2-B</v>
      </c>
      <c r="C105" s="67"/>
      <c r="D105" s="67"/>
      <c r="E105" s="67"/>
      <c r="F105" s="67"/>
      <c r="G105" s="67"/>
      <c r="H105" s="67"/>
      <c r="I105" s="36">
        <f t="shared" si="0"/>
        <v>0</v>
      </c>
      <c r="J105" s="10"/>
      <c r="K105" s="10"/>
      <c r="L105" s="10"/>
      <c r="M105" s="156"/>
    </row>
    <row r="106" spans="1:13" ht="13">
      <c r="A106" s="46"/>
      <c r="B106" s="46"/>
      <c r="C106" s="67"/>
      <c r="D106" s="67"/>
      <c r="E106" s="67"/>
      <c r="F106" s="67"/>
      <c r="G106" s="67"/>
      <c r="H106" s="67"/>
      <c r="I106" s="36">
        <f t="shared" si="0"/>
        <v>0</v>
      </c>
      <c r="J106" s="36"/>
      <c r="K106" s="36"/>
      <c r="L106" s="67"/>
      <c r="M106" s="113" t="str">
        <f>HYPERLINK("https://www.youtube.com/watch?v=5zILiqyQ2ts","Watch - Thinking - Incrementally")</f>
        <v>Watch - Thinking - Incrementally</v>
      </c>
    </row>
    <row r="107" spans="1:13" ht="13">
      <c r="A107" s="46"/>
      <c r="B107" s="46"/>
      <c r="C107" s="67"/>
      <c r="D107" s="67"/>
      <c r="E107" s="67"/>
      <c r="F107" s="67"/>
      <c r="G107" s="67"/>
      <c r="H107" s="67"/>
      <c r="I107" s="36">
        <f t="shared" si="0"/>
        <v>0</v>
      </c>
      <c r="J107" s="36"/>
      <c r="K107" s="36"/>
      <c r="L107" s="67"/>
      <c r="M107" s="113" t="str">
        <f>HYPERLINK("https://www.youtube.com/watch?v=9fwHOeebIgc","Watch - Thinking - Problem Domain re-interpretation")</f>
        <v>Watch - Thinking - Problem Domain re-interpretation</v>
      </c>
    </row>
    <row r="108" spans="1:13" ht="13">
      <c r="A108" s="46"/>
      <c r="B108" s="46"/>
      <c r="C108" s="67"/>
      <c r="D108" s="67"/>
      <c r="E108" s="67"/>
      <c r="F108" s="67"/>
      <c r="G108" s="67"/>
      <c r="H108" s="67"/>
      <c r="I108" s="36">
        <f t="shared" si="0"/>
        <v>0</v>
      </c>
      <c r="J108" s="36"/>
      <c r="K108" s="36"/>
      <c r="L108" s="67"/>
      <c r="M108" s="113" t="str">
        <f>HYPERLINK("https://www.youtube.com/watch?v=-5ApOQDhBtU","Watch - Number Theory - Factorization")</f>
        <v>Watch - Number Theory - Factorization</v>
      </c>
    </row>
    <row r="109" spans="1:13" ht="12.5">
      <c r="A109" s="74" t="s">
        <v>659</v>
      </c>
      <c r="B109" s="128" t="str">
        <f>HYPERLINK("https://uva.onlinejudge.org/index.php?option=com_onlinejudge&amp;Itemid=8&amp;page=show_problem&amp;problem=524","UVA 583")</f>
        <v>UVA 583</v>
      </c>
      <c r="C109" s="67"/>
      <c r="D109" s="67"/>
      <c r="E109" s="67"/>
      <c r="F109" s="67"/>
      <c r="G109" s="67"/>
      <c r="H109" s="67"/>
      <c r="I109" s="36">
        <f t="shared" si="0"/>
        <v>0</v>
      </c>
      <c r="J109" s="36"/>
      <c r="K109" s="36"/>
      <c r="L109" s="67"/>
      <c r="M109" s="46"/>
    </row>
    <row r="110" spans="1:13" ht="12.5">
      <c r="A110" s="74" t="s">
        <v>660</v>
      </c>
      <c r="B110" s="128" t="str">
        <f>HYPERLINK("https://uva.onlinejudge.org/index.php?option=com_onlinejudge&amp;Itemid=8&amp;page=show_problem&amp;problem=1431","UVA 10490")</f>
        <v>UVA 10490</v>
      </c>
      <c r="C110" s="67"/>
      <c r="D110" s="67"/>
      <c r="E110" s="67"/>
      <c r="F110" s="67"/>
      <c r="G110" s="67"/>
      <c r="H110" s="67"/>
      <c r="I110" s="36">
        <f t="shared" si="0"/>
        <v>0</v>
      </c>
      <c r="J110" s="36"/>
      <c r="K110" s="36"/>
      <c r="L110" s="67"/>
      <c r="M110" s="52" t="str">
        <f>HYPERLINK("https://github.com/MohamedNabil97/CompetitiveProgramming/blob/master/UVA/10490.cpp","Sol to read")</f>
        <v>Sol to read</v>
      </c>
    </row>
    <row r="111" spans="1:13" ht="12.5">
      <c r="A111" s="74" t="s">
        <v>661</v>
      </c>
      <c r="B111" s="128" t="str">
        <f>HYPERLINK("https://uva.onlinejudge.org/index.php?option=onlinejudge&amp;page=show_problem&amp;problem=1563","UVA 10622")</f>
        <v>UVA 10622</v>
      </c>
      <c r="C111" s="67"/>
      <c r="D111" s="67"/>
      <c r="E111" s="67"/>
      <c r="F111" s="67"/>
      <c r="G111" s="67"/>
      <c r="H111" s="67"/>
      <c r="I111" s="36">
        <f t="shared" si="0"/>
        <v>0</v>
      </c>
      <c r="J111" s="36"/>
      <c r="K111" s="36"/>
      <c r="L111" s="67"/>
      <c r="M111" s="116" t="str">
        <f>HYPERLINK("https://www.youtube.com/watch?v=sRZgiQc5x7U","Video Solution - Eng Moaz Rashad")</f>
        <v>Video Solution - Eng Moaz Rashad</v>
      </c>
    </row>
    <row r="112" spans="1:13" ht="12.5">
      <c r="A112" s="74" t="s">
        <v>662</v>
      </c>
      <c r="B112" s="128" t="str">
        <f>HYPERLINK("https://uva.onlinejudge.org/index.php?option=com_onlinejudge&amp;Itemid=8&amp;page=show_problem&amp;problem=457","UVA 516")</f>
        <v>UVA 516</v>
      </c>
      <c r="C112" s="67"/>
      <c r="D112" s="67"/>
      <c r="E112" s="67"/>
      <c r="F112" s="67"/>
      <c r="G112" s="67"/>
      <c r="H112" s="67"/>
      <c r="I112" s="36">
        <f t="shared" si="0"/>
        <v>0</v>
      </c>
      <c r="J112" s="36"/>
      <c r="K112" s="36"/>
      <c r="L112" s="67"/>
      <c r="M112" s="136" t="str">
        <f>HYPERLINK("https://algorithmist.com/wiki/UVa_516_-_Prime_Land#_=_","Sol")</f>
        <v>Sol</v>
      </c>
    </row>
    <row r="113" spans="1:13" ht="12.5">
      <c r="A113" s="79"/>
      <c r="B113" s="79" t="s">
        <v>663</v>
      </c>
      <c r="C113" s="67"/>
      <c r="D113" s="67"/>
      <c r="E113" s="67"/>
      <c r="F113" s="67"/>
      <c r="G113" s="67"/>
      <c r="H113" s="67"/>
      <c r="I113" s="36">
        <f t="shared" si="0"/>
        <v>0</v>
      </c>
      <c r="J113" s="36"/>
      <c r="K113" s="36"/>
      <c r="L113" s="67"/>
      <c r="M113" s="163" t="s">
        <v>632</v>
      </c>
    </row>
    <row r="114" spans="1:13" ht="12.5">
      <c r="A114" s="79"/>
      <c r="B114" s="79" t="s">
        <v>664</v>
      </c>
      <c r="C114" s="67"/>
      <c r="D114" s="67"/>
      <c r="E114" s="67"/>
      <c r="F114" s="67"/>
      <c r="G114" s="67"/>
      <c r="H114" s="67"/>
      <c r="I114" s="36">
        <f t="shared" si="0"/>
        <v>0</v>
      </c>
      <c r="J114" s="36"/>
      <c r="K114" s="36"/>
      <c r="L114" s="67"/>
      <c r="M114" s="60"/>
    </row>
    <row r="115" spans="1:13" ht="12.5">
      <c r="A115" s="79" t="s">
        <v>665</v>
      </c>
      <c r="B115" s="164" t="str">
        <f>HYPERLINK("https://uva.onlinejudge.org/index.php?option=com_onlinejudge&amp;Itemid=8&amp;page=show_problem&amp;problem=132","UVA 196")</f>
        <v>UVA 196</v>
      </c>
      <c r="C115" s="67"/>
      <c r="D115" s="67"/>
      <c r="E115" s="67"/>
      <c r="F115" s="67"/>
      <c r="G115" s="67"/>
      <c r="H115" s="67"/>
      <c r="I115" s="36">
        <f t="shared" si="0"/>
        <v>0</v>
      </c>
      <c r="J115" s="10"/>
      <c r="K115" s="10"/>
      <c r="L115" s="10"/>
      <c r="M115" s="134" t="s">
        <v>632</v>
      </c>
    </row>
    <row r="116" spans="1:13" ht="12.5">
      <c r="A116" s="46"/>
      <c r="B116" s="46"/>
      <c r="C116" s="67"/>
      <c r="D116" s="67"/>
      <c r="E116" s="67"/>
      <c r="F116" s="67"/>
      <c r="G116" s="67"/>
      <c r="H116" s="67"/>
      <c r="I116" s="36">
        <f t="shared" si="0"/>
        <v>0</v>
      </c>
      <c r="J116" s="36"/>
      <c r="K116" s="36"/>
      <c r="L116" s="67"/>
      <c r="M116" s="60"/>
    </row>
    <row r="117" spans="1:13" ht="12.5">
      <c r="A117" s="46" t="s">
        <v>666</v>
      </c>
      <c r="B117" s="147" t="str">
        <f>HYPERLINK("http://codeforces.com/contest/253/problem/C","CF253-D2-C")</f>
        <v>CF253-D2-C</v>
      </c>
      <c r="C117" s="67"/>
      <c r="D117" s="67"/>
      <c r="E117" s="67"/>
      <c r="F117" s="67"/>
      <c r="G117" s="67"/>
      <c r="H117" s="67"/>
      <c r="I117" s="36">
        <f t="shared" si="0"/>
        <v>0</v>
      </c>
      <c r="J117" s="36"/>
      <c r="K117" s="36"/>
      <c r="L117" s="67"/>
      <c r="M117" s="56"/>
    </row>
    <row r="118" spans="1:13" ht="12.5">
      <c r="A118" s="46" t="s">
        <v>667</v>
      </c>
      <c r="B118" s="147" t="str">
        <f>HYPERLINK("http://codeforces.com/contest/604/problem/C","CF604-D2-C")</f>
        <v>CF604-D2-C</v>
      </c>
      <c r="C118" s="67"/>
      <c r="D118" s="67"/>
      <c r="E118" s="67"/>
      <c r="F118" s="67"/>
      <c r="G118" s="67"/>
      <c r="H118" s="67"/>
      <c r="I118" s="36">
        <f t="shared" si="0"/>
        <v>0</v>
      </c>
      <c r="J118" s="36"/>
      <c r="K118" s="36"/>
      <c r="L118" s="67"/>
      <c r="M118" s="56"/>
    </row>
    <row r="119" spans="1:13" ht="12.5">
      <c r="A119" s="46" t="s">
        <v>668</v>
      </c>
      <c r="B119" s="147" t="str">
        <f>HYPERLINK("http://codeforces.com/contest/735/problem/C","CF735-D2-C")</f>
        <v>CF735-D2-C</v>
      </c>
      <c r="C119" s="67"/>
      <c r="D119" s="67"/>
      <c r="E119" s="67"/>
      <c r="F119" s="67"/>
      <c r="G119" s="67"/>
      <c r="H119" s="67"/>
      <c r="I119" s="36">
        <f t="shared" si="0"/>
        <v>0</v>
      </c>
      <c r="J119" s="36"/>
      <c r="K119" s="36"/>
      <c r="L119" s="67"/>
      <c r="M119" s="56"/>
    </row>
    <row r="120" spans="1:13" ht="12.5">
      <c r="A120" s="46" t="s">
        <v>669</v>
      </c>
      <c r="B120" s="147" t="str">
        <f>HYPERLINK("http://codeforces.com/contest/507/problem/C","CF507-D2-C")</f>
        <v>CF507-D2-C</v>
      </c>
      <c r="C120" s="67"/>
      <c r="D120" s="67"/>
      <c r="E120" s="67"/>
      <c r="F120" s="67"/>
      <c r="G120" s="67"/>
      <c r="H120" s="67"/>
      <c r="I120" s="36">
        <f t="shared" si="0"/>
        <v>0</v>
      </c>
      <c r="J120" s="36"/>
      <c r="K120" s="36"/>
      <c r="L120" s="67"/>
      <c r="M120" s="162" t="str">
        <f>HYPERLINK("https://www.youtube.com/watch?v=1Ki1L9BAJIQ","Video Solution - Dr Mostafa Saad")</f>
        <v>Video Solution - Dr Mostafa Saad</v>
      </c>
    </row>
    <row r="121" spans="1:13" ht="12.5">
      <c r="A121" s="46" t="s">
        <v>670</v>
      </c>
      <c r="B121" s="147" t="str">
        <f>HYPERLINK("http://codeforces.com/contest/84/problem/C","CF84-D2-C")</f>
        <v>CF84-D2-C</v>
      </c>
      <c r="C121" s="67"/>
      <c r="D121" s="67"/>
      <c r="E121" s="67"/>
      <c r="F121" s="67"/>
      <c r="G121" s="67"/>
      <c r="H121" s="67"/>
      <c r="I121" s="36">
        <f t="shared" si="0"/>
        <v>0</v>
      </c>
      <c r="J121" s="36"/>
      <c r="K121" s="36"/>
      <c r="L121" s="67"/>
      <c r="M121" s="46"/>
    </row>
    <row r="122" spans="1:13" ht="12.5">
      <c r="A122" s="56" t="s">
        <v>671</v>
      </c>
      <c r="B122" s="87" t="str">
        <f>HYPERLINK("http://codeforces.com/contest/584/problem/C","CF584-D2-C")</f>
        <v>CF584-D2-C</v>
      </c>
      <c r="C122" s="67"/>
      <c r="D122" s="67"/>
      <c r="E122" s="67"/>
      <c r="F122" s="67"/>
      <c r="G122" s="67"/>
      <c r="H122" s="67"/>
      <c r="I122" s="36">
        <f t="shared" si="0"/>
        <v>0</v>
      </c>
      <c r="J122" s="36"/>
      <c r="K122" s="36"/>
      <c r="L122" s="10"/>
      <c r="M122" s="10"/>
    </row>
    <row r="123" spans="1:13" ht="12.5">
      <c r="A123" s="60" t="s">
        <v>672</v>
      </c>
      <c r="B123" s="165" t="str">
        <f>HYPERLINK("http://codeforces.com/contest/792/problem/C","CF792-D2-C")</f>
        <v>CF792-D2-C</v>
      </c>
      <c r="C123" s="67"/>
      <c r="D123" s="67"/>
      <c r="E123" s="67"/>
      <c r="F123" s="67"/>
      <c r="G123" s="67"/>
      <c r="H123" s="67"/>
      <c r="I123" s="36">
        <f t="shared" si="0"/>
        <v>0</v>
      </c>
      <c r="J123" s="36"/>
      <c r="K123" s="36"/>
      <c r="L123" s="10"/>
      <c r="M123" s="59" t="str">
        <f>HYPERLINK("https://www.youtube.com/watch?v=BgG5sjJslYk","Video Solution - Solver to be (Java)")</f>
        <v>Video Solution - Solver to be (Java)</v>
      </c>
    </row>
    <row r="124" spans="1:13" ht="12.5">
      <c r="A124" s="150" t="s">
        <v>673</v>
      </c>
      <c r="B124" s="25" t="str">
        <f>HYPERLINK("http://codeforces.com/contest/534/problem/B","CF534-D2-B")</f>
        <v>CF534-D2-B</v>
      </c>
      <c r="C124" s="67"/>
      <c r="D124" s="67"/>
      <c r="E124" s="67"/>
      <c r="F124" s="67"/>
      <c r="G124" s="67"/>
      <c r="H124" s="67"/>
      <c r="I124" s="36">
        <f t="shared" si="0"/>
        <v>0</v>
      </c>
      <c r="J124" s="36"/>
      <c r="K124" s="36"/>
      <c r="L124" s="10"/>
      <c r="M124" s="56"/>
    </row>
    <row r="125" spans="1:13" ht="12.5">
      <c r="A125" s="150" t="s">
        <v>674</v>
      </c>
      <c r="B125" s="25" t="str">
        <f>HYPERLINK("http://codeforces.com/contest/75/problem/B","CF75-D2-B")</f>
        <v>CF75-D2-B</v>
      </c>
      <c r="C125" s="67"/>
      <c r="D125" s="67"/>
      <c r="E125" s="67"/>
      <c r="F125" s="67"/>
      <c r="G125" s="67"/>
      <c r="H125" s="67"/>
      <c r="I125" s="36">
        <f t="shared" si="0"/>
        <v>0</v>
      </c>
      <c r="J125" s="36"/>
      <c r="K125" s="36"/>
      <c r="L125" s="10"/>
      <c r="M125" s="56"/>
    </row>
    <row r="126" spans="1:13" ht="12.5">
      <c r="A126" s="150" t="s">
        <v>675</v>
      </c>
      <c r="B126" s="166" t="str">
        <f>HYPERLINK("http://codeforces.com/contest/979/problem/B","CF979-D2-B")</f>
        <v>CF979-D2-B</v>
      </c>
      <c r="C126" s="10"/>
      <c r="D126" s="10"/>
      <c r="E126" s="10"/>
      <c r="F126" s="10"/>
      <c r="G126" s="10"/>
      <c r="H126" s="10"/>
      <c r="I126" s="67">
        <f t="shared" si="0"/>
        <v>0</v>
      </c>
      <c r="J126" s="10"/>
      <c r="K126" s="10"/>
      <c r="L126" s="10"/>
      <c r="M126" s="126" t="s">
        <v>676</v>
      </c>
    </row>
    <row r="127" spans="1:13" ht="12.5">
      <c r="A127" s="46"/>
      <c r="B127" s="46"/>
      <c r="C127" s="67"/>
      <c r="D127" s="67"/>
      <c r="E127" s="67"/>
      <c r="F127" s="67"/>
      <c r="G127" s="67"/>
      <c r="H127" s="67"/>
      <c r="I127" s="36">
        <f t="shared" si="0"/>
        <v>0</v>
      </c>
      <c r="J127" s="36"/>
      <c r="K127" s="36"/>
      <c r="L127" s="67"/>
      <c r="M127" s="46"/>
    </row>
    <row r="128" spans="1:13" ht="12.5">
      <c r="A128" s="79" t="s">
        <v>677</v>
      </c>
      <c r="B128" s="117" t="str">
        <f>HYPERLINK("https://uva.onlinejudge.org/index.php?option=onlinejudge&amp;page=show_problem&amp;problem=1731","UVA 10790")</f>
        <v>UVA 10790</v>
      </c>
      <c r="C128" s="67"/>
      <c r="D128" s="67"/>
      <c r="E128" s="67"/>
      <c r="F128" s="67"/>
      <c r="G128" s="67"/>
      <c r="H128" s="67"/>
      <c r="I128" s="36">
        <f t="shared" si="0"/>
        <v>0</v>
      </c>
      <c r="J128" s="36"/>
      <c r="K128" s="36"/>
      <c r="L128" s="67"/>
      <c r="M128" s="147" t="str">
        <f>HYPERLINK("https://github.com/MeGaCrazy/CompetitiveProgramming/blob/5b920a5ddab614e30ea12e7e3a7da12267a203ec/UVA/UVA_10790.cpp","Sol")</f>
        <v>Sol</v>
      </c>
    </row>
    <row r="129" spans="1:13" ht="12.5">
      <c r="A129" s="79" t="s">
        <v>678</v>
      </c>
      <c r="B129" s="117" t="str">
        <f>HYPERLINK("https://uva.onlinejudge.org/index.php?option=onlinejudge&amp;Itemid=8&amp;page=show_problem&amp;problem=1080","UVA 10139")</f>
        <v>UVA 10139</v>
      </c>
      <c r="C129" s="67"/>
      <c r="D129" s="67"/>
      <c r="E129" s="67"/>
      <c r="F129" s="67"/>
      <c r="G129" s="67"/>
      <c r="H129" s="67"/>
      <c r="I129" s="36">
        <f t="shared" si="0"/>
        <v>0</v>
      </c>
      <c r="J129" s="36"/>
      <c r="K129" s="36"/>
      <c r="L129" s="67"/>
      <c r="M129" s="160" t="s">
        <v>632</v>
      </c>
    </row>
    <row r="130" spans="1:13" ht="12.5">
      <c r="A130" s="79" t="s">
        <v>679</v>
      </c>
      <c r="B130" s="117" t="str">
        <f>HYPERLINK("https://uva.onlinejudge.org/index.php?option=com_onlinejudge&amp;Itemid=8&amp;page=show_problem&amp;problem=1917","UVA 10976")</f>
        <v>UVA 10976</v>
      </c>
      <c r="C130" s="67"/>
      <c r="D130" s="67"/>
      <c r="E130" s="67"/>
      <c r="F130" s="67"/>
      <c r="G130" s="67"/>
      <c r="H130" s="67"/>
      <c r="I130" s="36">
        <f t="shared" si="0"/>
        <v>0</v>
      </c>
      <c r="J130" s="36"/>
      <c r="K130" s="36"/>
      <c r="L130" s="67"/>
      <c r="M130" s="52" t="str">
        <f>HYPERLINK("https://github.com/magdy-hasan/competitive-programming/blob/master/uva-/uva%2010976%20-%20Fractions%20Again!.cpp","Sol")</f>
        <v>Sol</v>
      </c>
    </row>
    <row r="131" spans="1:13" ht="12.5">
      <c r="A131" s="79" t="s">
        <v>680</v>
      </c>
      <c r="B131" s="117" t="str">
        <f>HYPERLINK("http://codeforces.com/contest/189/problem/A","CF189-D2-A")</f>
        <v>CF189-D2-A</v>
      </c>
      <c r="C131" s="67"/>
      <c r="D131" s="67"/>
      <c r="E131" s="67"/>
      <c r="F131" s="67"/>
      <c r="G131" s="67"/>
      <c r="H131" s="67"/>
      <c r="I131" s="36">
        <f t="shared" si="0"/>
        <v>0</v>
      </c>
      <c r="J131" s="36"/>
      <c r="K131" s="36"/>
      <c r="L131" s="10"/>
      <c r="M131" s="59" t="str">
        <f>HYPERLINK("https://www.youtube.com/watch?v=4VBt8sKocyw","Video Solution - Solver to be (Java)")</f>
        <v>Video Solution - Solver to be (Java)</v>
      </c>
    </row>
    <row r="132" spans="1:13" ht="12.5">
      <c r="A132" s="46"/>
      <c r="B132" s="46"/>
      <c r="C132" s="67"/>
      <c r="D132" s="67"/>
      <c r="E132" s="67"/>
      <c r="F132" s="67"/>
      <c r="G132" s="67"/>
      <c r="H132" s="67"/>
      <c r="I132" s="36">
        <f t="shared" si="0"/>
        <v>0</v>
      </c>
      <c r="J132" s="36"/>
      <c r="K132" s="36"/>
      <c r="L132" s="67"/>
      <c r="M132" s="46"/>
    </row>
    <row r="133" spans="1:13" ht="13">
      <c r="C133" s="67"/>
      <c r="D133" s="67"/>
      <c r="E133" s="67"/>
      <c r="F133" s="67"/>
      <c r="G133" s="67"/>
      <c r="H133" s="67"/>
      <c r="I133" s="36">
        <f t="shared" si="0"/>
        <v>0</v>
      </c>
      <c r="J133" s="36"/>
      <c r="K133" s="36"/>
      <c r="L133" s="67"/>
      <c r="M133" s="167" t="str">
        <f>HYPERLINK("https://www.youtube.com/playlist?list=PLC58778F28211FA19","Watch - Probability - First 9 videos")</f>
        <v>Watch - Probability - First 9 videos</v>
      </c>
    </row>
    <row r="134" spans="1:13" ht="12.5">
      <c r="A134" s="74" t="s">
        <v>681</v>
      </c>
      <c r="B134" s="168" t="str">
        <f>HYPERLINK("https://uva.onlinejudge.org/index.php?option=onlinejudge&amp;page=show_problem&amp;problem=1432","UVA 10491")</f>
        <v>UVA 10491</v>
      </c>
      <c r="C134" s="67"/>
      <c r="D134" s="67"/>
      <c r="E134" s="67"/>
      <c r="F134" s="67"/>
      <c r="G134" s="67"/>
      <c r="H134" s="67"/>
      <c r="I134" s="36">
        <f t="shared" si="0"/>
        <v>0</v>
      </c>
      <c r="J134" s="36"/>
      <c r="K134" s="36"/>
      <c r="L134" s="67"/>
      <c r="M134" s="147" t="str">
        <f>HYPERLINK("https://www.probabilitycourse.com/","Revise Probability")</f>
        <v>Revise Probability</v>
      </c>
    </row>
    <row r="135" spans="1:13" ht="12.5">
      <c r="A135" s="74" t="s">
        <v>682</v>
      </c>
      <c r="B135" s="168" t="str">
        <f>HYPERLINK("https://uva.onlinejudge.org/index.php?option=com_onlinejudge&amp;Itemid=8&amp;page=show_problem&amp;problem=997","UVA 10056")</f>
        <v>UVA 10056</v>
      </c>
      <c r="C135" s="67"/>
      <c r="D135" s="67"/>
      <c r="E135" s="67"/>
      <c r="F135" s="67"/>
      <c r="G135" s="67"/>
      <c r="H135" s="67"/>
      <c r="I135" s="36">
        <f t="shared" si="0"/>
        <v>0</v>
      </c>
      <c r="J135" s="36"/>
      <c r="K135" s="36"/>
      <c r="L135" s="67"/>
      <c r="M135" s="147" t="str">
        <f>HYPERLINK("https://github.com/mostafa-saad/MyCompetitiveProgramming/blob/master/UVA/UVA_10056.txt","Sol")</f>
        <v>Sol</v>
      </c>
    </row>
    <row r="136" spans="1:13" ht="12.5">
      <c r="A136" s="74" t="s">
        <v>683</v>
      </c>
      <c r="B136" s="168" t="str">
        <f>HYPERLINK("https://uva.onlinejudge.org/index.php?option=com_onlinejudge&amp;Itemid=8&amp;page=show_problem&amp;problem=1159","UVA 10218")</f>
        <v>UVA 10218</v>
      </c>
      <c r="C136" s="67"/>
      <c r="D136" s="67"/>
      <c r="E136" s="67"/>
      <c r="F136" s="67"/>
      <c r="G136" s="67"/>
      <c r="H136" s="67"/>
      <c r="I136" s="36">
        <f t="shared" si="0"/>
        <v>0</v>
      </c>
      <c r="J136" s="36"/>
      <c r="K136" s="36"/>
      <c r="L136" s="67"/>
      <c r="M136" s="169" t="str">
        <f>HYPERLINK("https://github.com/mostafa-saad/MyCompetitiveProgramming/blob/master/UVA/UVA_10218.txt","Sol")</f>
        <v>Sol</v>
      </c>
    </row>
    <row r="137" spans="1:13" ht="12.5">
      <c r="A137" s="74" t="s">
        <v>684</v>
      </c>
      <c r="B137" s="168" t="str">
        <f>HYPERLINK("https://uva.onlinejudge.org/index.php?option=com_onlinejudge&amp;Itemid=8&amp;page=show_problem&amp;problem=2122","UVA 11181")</f>
        <v>UVA 11181</v>
      </c>
      <c r="C137" s="67"/>
      <c r="D137" s="67"/>
      <c r="E137" s="67"/>
      <c r="F137" s="67"/>
      <c r="G137" s="67"/>
      <c r="H137" s="67"/>
      <c r="I137" s="36">
        <f t="shared" si="0"/>
        <v>0</v>
      </c>
      <c r="J137" s="36"/>
      <c r="K137" s="36"/>
      <c r="L137" s="67"/>
      <c r="M137" s="147" t="str">
        <f>HYPERLINK("https://github.com/MohamedNabil97/CompetitiveProgramming/blob/master/UVA/1181.cpp","Sol")</f>
        <v>Sol</v>
      </c>
    </row>
    <row r="138" spans="1:13" ht="12.5">
      <c r="A138" s="74" t="s">
        <v>685</v>
      </c>
      <c r="B138" s="168" t="str">
        <f>HYPERLINK("https://uva.onlinejudge.org/index.php?option=com_onlinejudge&amp;Itemid=8&amp;page=show_problem&amp;problem=2675","UVA 11628")</f>
        <v>UVA 11628</v>
      </c>
      <c r="C138" s="67"/>
      <c r="D138" s="67"/>
      <c r="E138" s="67"/>
      <c r="F138" s="67"/>
      <c r="G138" s="67"/>
      <c r="H138" s="67"/>
      <c r="I138" s="36">
        <f t="shared" si="0"/>
        <v>0</v>
      </c>
      <c r="J138" s="36"/>
      <c r="K138" s="36"/>
      <c r="L138" s="67"/>
      <c r="M138" s="147" t="str">
        <f>HYPERLINK("https://github.com/mostafa-saad/MyCompetitiveProgramming/blob/master/UVA/UVA_11628.txt","Sol")</f>
        <v>Sol</v>
      </c>
    </row>
    <row r="139" spans="1:13" ht="12.5">
      <c r="A139" s="74" t="s">
        <v>686</v>
      </c>
      <c r="B139" s="168" t="str">
        <f>HYPERLINK("https://uva.onlinejudge.org/index.php?option=com_onlinejudge&amp;Itemid=8&amp;page=show_problem&amp;problem=3904","UVA 12461")</f>
        <v>UVA 12461</v>
      </c>
      <c r="C139" s="67"/>
      <c r="D139" s="67"/>
      <c r="E139" s="67"/>
      <c r="F139" s="67"/>
      <c r="G139" s="67"/>
      <c r="H139" s="67"/>
      <c r="I139" s="36">
        <f t="shared" si="0"/>
        <v>0</v>
      </c>
      <c r="J139" s="36"/>
      <c r="K139" s="36"/>
      <c r="L139" s="67"/>
      <c r="M139" s="170" t="str">
        <f>HYPERLINK("https://github.com/VAMPIER000001/CompetitiveProgramming/blob/master/UVA/V-124/UVA%2012461.Cpp","Sol")</f>
        <v>Sol</v>
      </c>
    </row>
    <row r="140" spans="1:13" ht="12.5">
      <c r="A140" s="79"/>
      <c r="B140" s="117" t="str">
        <f>HYPERLINK("https://www.hackerrank.com/contests/infinitum18/challenges/tower-3-coloring","HACKR tower-3-coloring")</f>
        <v>HACKR tower-3-coloring</v>
      </c>
      <c r="C140" s="67"/>
      <c r="D140" s="67"/>
      <c r="E140" s="67"/>
      <c r="F140" s="67"/>
      <c r="G140" s="67"/>
      <c r="H140" s="67"/>
      <c r="I140" s="36">
        <f t="shared" si="0"/>
        <v>0</v>
      </c>
      <c r="J140" s="36"/>
      <c r="K140" s="36"/>
      <c r="L140" s="67"/>
      <c r="M140" s="137" t="str">
        <f>HYPERLINK("https://en.wikipedia.org/wiki/Fermat%27s_little_theorem","Learn  Fermat's little theorem")</f>
        <v>Learn  Fermat's little theorem</v>
      </c>
    </row>
    <row r="141" spans="1:13" ht="12.5">
      <c r="A141" s="79"/>
      <c r="B141" s="117" t="str">
        <f>HYPERLINK("http://codeforces.com/contest/445/problem/C","CF445-D2-C")</f>
        <v>CF445-D2-C</v>
      </c>
      <c r="C141" s="67"/>
      <c r="D141" s="67"/>
      <c r="E141" s="67"/>
      <c r="F141" s="67"/>
      <c r="G141" s="67"/>
      <c r="H141" s="67"/>
      <c r="I141" s="36">
        <f t="shared" si="0"/>
        <v>0</v>
      </c>
      <c r="J141" s="36"/>
      <c r="K141" s="36"/>
      <c r="L141" s="67"/>
      <c r="M141" s="28"/>
    </row>
    <row r="142" spans="1:13" ht="12.5">
      <c r="A142" s="79"/>
      <c r="B142" s="117" t="str">
        <f>HYPERLINK("https://www.hackerrank.com/challenges/a-circle-and-a-square","HACKR a-circle-and-a-square")</f>
        <v>HACKR a-circle-and-a-square</v>
      </c>
      <c r="C142" s="67"/>
      <c r="D142" s="67"/>
      <c r="E142" s="67"/>
      <c r="F142" s="67"/>
      <c r="G142" s="67"/>
      <c r="H142" s="67"/>
      <c r="I142" s="36">
        <f t="shared" si="0"/>
        <v>0</v>
      </c>
      <c r="J142" s="36"/>
      <c r="K142" s="36"/>
      <c r="L142" s="67"/>
      <c r="M142" s="28"/>
    </row>
    <row r="143" spans="1:13" ht="12.5">
      <c r="A143" s="79"/>
      <c r="B143" s="149" t="s">
        <v>687</v>
      </c>
      <c r="C143" s="67"/>
      <c r="D143" s="67"/>
      <c r="E143" s="67"/>
      <c r="F143" s="67"/>
      <c r="G143" s="67"/>
      <c r="H143" s="67"/>
      <c r="I143" s="36">
        <f t="shared" si="0"/>
        <v>0</v>
      </c>
      <c r="J143" s="36"/>
      <c r="K143" s="36"/>
      <c r="L143" s="67"/>
      <c r="M143" s="147" t="str">
        <f>HYPERLINK("https://www.geeksforgeeks.org/0-1-bfs-shortest-path-binary-graph/","Learn 0/1 BFS")</f>
        <v>Learn 0/1 BFS</v>
      </c>
    </row>
    <row r="144" spans="1:13" ht="12.5">
      <c r="A144" s="79" t="s">
        <v>688</v>
      </c>
      <c r="B144" s="117" t="str">
        <f>HYPERLINK("https://uva.onlinejudge.org/index.php?option=com_onlinejudge&amp;Itemid=8&amp;page=show_problem&amp;problem=3415","UVA 12263")</f>
        <v>UVA 12263</v>
      </c>
      <c r="C144" s="10"/>
      <c r="D144" s="10"/>
      <c r="E144" s="10"/>
      <c r="F144" s="10"/>
      <c r="G144" s="10"/>
      <c r="H144" s="10"/>
      <c r="I144" s="67">
        <f t="shared" si="0"/>
        <v>0</v>
      </c>
      <c r="J144" s="10"/>
      <c r="K144" s="10"/>
      <c r="L144" s="10"/>
      <c r="M144" s="70" t="str">
        <f>HYPERLINK("https://github.com/mostafa-saad/MyCompetitiveProgramming/blob/master/UVA/UVA_12263.txt","Sol")</f>
        <v>Sol</v>
      </c>
    </row>
    <row r="145" spans="1:13" ht="12.5">
      <c r="C145" s="67"/>
      <c r="D145" s="67"/>
      <c r="E145" s="67"/>
      <c r="F145" s="67"/>
      <c r="G145" s="67"/>
      <c r="H145" s="67"/>
      <c r="I145" s="36">
        <f t="shared" si="0"/>
        <v>0</v>
      </c>
      <c r="J145" s="36"/>
      <c r="K145" s="36"/>
      <c r="L145" s="67"/>
      <c r="M145" s="28"/>
    </row>
    <row r="146" spans="1:13" ht="12.5">
      <c r="A146" s="46" t="s">
        <v>689</v>
      </c>
      <c r="B146" s="136" t="str">
        <f>HYPERLINK("http://codeforces.com/contest/822/problem/C","CF822-D2-C")</f>
        <v>CF822-D2-C</v>
      </c>
      <c r="C146" s="67"/>
      <c r="D146" s="67"/>
      <c r="E146" s="67"/>
      <c r="F146" s="67"/>
      <c r="G146" s="67"/>
      <c r="H146" s="67"/>
      <c r="I146" s="36">
        <f t="shared" si="0"/>
        <v>0</v>
      </c>
      <c r="J146" s="36"/>
      <c r="K146" s="36"/>
      <c r="L146" s="67"/>
      <c r="M146" s="59" t="str">
        <f>HYPERLINK("https://www.youtube.com/watch?v=VvR9spazigA","Video Solution - Solver to be (Java)")</f>
        <v>Video Solution - Solver to be (Java)</v>
      </c>
    </row>
    <row r="147" spans="1:13" ht="12.5">
      <c r="A147" s="46" t="s">
        <v>690</v>
      </c>
      <c r="B147" s="136" t="str">
        <f>HYPERLINK("http://codeforces.com/contest/834/problem/C","CF834-D2-C")</f>
        <v>CF834-D2-C</v>
      </c>
      <c r="C147" s="67"/>
      <c r="D147" s="67"/>
      <c r="E147" s="67"/>
      <c r="F147" s="67"/>
      <c r="G147" s="67"/>
      <c r="H147" s="67"/>
      <c r="I147" s="36">
        <f t="shared" si="0"/>
        <v>0</v>
      </c>
      <c r="J147" s="36"/>
      <c r="K147" s="36"/>
      <c r="L147" s="67"/>
      <c r="M147" s="59" t="str">
        <f>HYPERLINK("https://www.youtube.com/watch?v=tge-NMPdndc","Video Solution - Solver to be (Java)")</f>
        <v>Video Solution - Solver to be (Java)</v>
      </c>
    </row>
    <row r="148" spans="1:13" ht="12.5">
      <c r="A148" s="46" t="s">
        <v>691</v>
      </c>
      <c r="B148" s="136" t="str">
        <f>HYPERLINK("http://codeforces.com/contest/835/problem/C","CF835-D2-C")</f>
        <v>CF835-D2-C</v>
      </c>
      <c r="C148" s="67"/>
      <c r="D148" s="67"/>
      <c r="E148" s="67"/>
      <c r="F148" s="67"/>
      <c r="G148" s="67"/>
      <c r="H148" s="67"/>
      <c r="I148" s="36">
        <f t="shared" si="0"/>
        <v>0</v>
      </c>
      <c r="J148" s="36"/>
      <c r="K148" s="36"/>
      <c r="L148" s="67"/>
      <c r="M148" s="59" t="str">
        <f>HYPERLINK("https://www.youtube.com/watch?v=McKM0CgVLUM","Video Solution - Solver to be (Java)")</f>
        <v>Video Solution - Solver to be (Java)</v>
      </c>
    </row>
    <row r="149" spans="1:13" ht="12.5">
      <c r="A149" s="142"/>
      <c r="B149" s="142"/>
      <c r="C149" s="144"/>
      <c r="D149" s="144"/>
      <c r="E149" s="144"/>
      <c r="F149" s="144"/>
      <c r="G149" s="144"/>
      <c r="H149" s="144"/>
      <c r="I149" s="144">
        <f>SUM(E149:G149)</f>
        <v>0</v>
      </c>
      <c r="J149" s="144"/>
      <c r="K149" s="144"/>
      <c r="L149" s="144"/>
      <c r="M149" s="142"/>
    </row>
    <row r="150" spans="1:13" ht="12.5">
      <c r="A150" s="56"/>
      <c r="B150" s="56"/>
      <c r="C150" s="67"/>
      <c r="D150" s="391" t="s">
        <v>275</v>
      </c>
      <c r="E150" s="365"/>
      <c r="F150" s="365"/>
      <c r="G150" s="365"/>
      <c r="H150" s="67"/>
      <c r="I150" s="67">
        <f>SUM(E150:G150)</f>
        <v>0</v>
      </c>
      <c r="J150" s="390" t="s">
        <v>276</v>
      </c>
      <c r="K150" s="365"/>
      <c r="L150" s="365"/>
      <c r="M150" s="365"/>
    </row>
    <row r="151" spans="1:13" ht="12.5">
      <c r="A151" s="142"/>
      <c r="B151" s="142"/>
      <c r="C151" s="144"/>
      <c r="D151" s="144"/>
      <c r="E151" s="144"/>
      <c r="F151" s="144"/>
      <c r="G151" s="144"/>
      <c r="H151" s="144"/>
      <c r="I151" s="144">
        <f>SUM(E151:G151)</f>
        <v>0</v>
      </c>
      <c r="J151" s="144"/>
      <c r="K151" s="144"/>
      <c r="L151" s="144"/>
      <c r="M151" s="142"/>
    </row>
    <row r="152" spans="1:13" ht="12.5">
      <c r="A152" s="46" t="s">
        <v>692</v>
      </c>
      <c r="B152" s="147" t="str">
        <f>HYPERLINK("http://codeforces.com/contest/483/problem/C","CF483-D2-C")</f>
        <v>CF483-D2-C</v>
      </c>
      <c r="C152" s="67"/>
      <c r="D152" s="67"/>
      <c r="E152" s="67"/>
      <c r="F152" s="67"/>
      <c r="G152" s="67"/>
      <c r="H152" s="67"/>
      <c r="I152" s="36">
        <f t="shared" ref="I152:I200" si="1">SUM(E152:H152)</f>
        <v>0</v>
      </c>
      <c r="J152" s="36"/>
      <c r="K152" s="36"/>
      <c r="L152" s="67"/>
      <c r="M152" s="56"/>
    </row>
    <row r="153" spans="1:13" ht="12.5">
      <c r="A153" s="46" t="s">
        <v>693</v>
      </c>
      <c r="B153" s="147" t="str">
        <f>HYPERLINK("http://codeforces.com/contest/136/problem/C","CF136-D2-C")</f>
        <v>CF136-D2-C</v>
      </c>
      <c r="C153" s="67"/>
      <c r="D153" s="67"/>
      <c r="E153" s="67"/>
      <c r="F153" s="67"/>
      <c r="G153" s="67"/>
      <c r="H153" s="67"/>
      <c r="I153" s="36">
        <f t="shared" si="1"/>
        <v>0</v>
      </c>
      <c r="J153" s="36"/>
      <c r="K153" s="36"/>
      <c r="L153" s="67"/>
      <c r="M153" s="56"/>
    </row>
    <row r="154" spans="1:13" ht="12.5">
      <c r="A154" s="46" t="s">
        <v>694</v>
      </c>
      <c r="B154" s="147" t="str">
        <f>HYPERLINK("http://codeforces.com/contest/102/problem/C","CF102-D2-C")</f>
        <v>CF102-D2-C</v>
      </c>
      <c r="C154" s="67"/>
      <c r="D154" s="67"/>
      <c r="E154" s="67"/>
      <c r="F154" s="67"/>
      <c r="G154" s="67"/>
      <c r="H154" s="67"/>
      <c r="I154" s="36">
        <f t="shared" si="1"/>
        <v>0</v>
      </c>
      <c r="J154" s="36"/>
      <c r="K154" s="36"/>
      <c r="L154" s="67"/>
      <c r="M154" s="56"/>
    </row>
    <row r="155" spans="1:13" ht="12.5">
      <c r="A155" s="46" t="s">
        <v>695</v>
      </c>
      <c r="B155" s="147" t="str">
        <f>HYPERLINK("http://codeforces.com/contest/221/problem/C","CF221-D2-C")</f>
        <v>CF221-D2-C</v>
      </c>
      <c r="C155" s="67"/>
      <c r="D155" s="67"/>
      <c r="E155" s="67"/>
      <c r="F155" s="67"/>
      <c r="G155" s="67"/>
      <c r="H155" s="67"/>
      <c r="I155" s="36">
        <f t="shared" si="1"/>
        <v>0</v>
      </c>
      <c r="J155" s="36"/>
      <c r="K155" s="36"/>
      <c r="L155" s="67"/>
      <c r="M155" s="56"/>
    </row>
    <row r="156" spans="1:13" ht="12.5">
      <c r="A156" s="46" t="s">
        <v>696</v>
      </c>
      <c r="B156" s="147" t="str">
        <f>HYPERLINK("http://codeforces.com/contest/581/problem/C","CF581-D2-C")</f>
        <v>CF581-D2-C</v>
      </c>
      <c r="C156" s="67"/>
      <c r="D156" s="67"/>
      <c r="E156" s="67"/>
      <c r="F156" s="67"/>
      <c r="G156" s="67"/>
      <c r="H156" s="67"/>
      <c r="I156" s="36">
        <f t="shared" si="1"/>
        <v>0</v>
      </c>
      <c r="J156" s="36"/>
      <c r="K156" s="36"/>
      <c r="L156" s="67"/>
      <c r="M156" s="56"/>
    </row>
    <row r="157" spans="1:13" ht="12.5">
      <c r="A157" s="46" t="s">
        <v>697</v>
      </c>
      <c r="B157" s="147" t="str">
        <f>HYPERLINK("http://codeforces.com/contest/262/problem/C","CF262-D2-C")</f>
        <v>CF262-D2-C</v>
      </c>
      <c r="C157" s="67"/>
      <c r="D157" s="67"/>
      <c r="E157" s="67"/>
      <c r="F157" s="67"/>
      <c r="G157" s="67"/>
      <c r="H157" s="67"/>
      <c r="I157" s="36">
        <f t="shared" si="1"/>
        <v>0</v>
      </c>
      <c r="J157" s="36"/>
      <c r="K157" s="36"/>
      <c r="L157" s="67"/>
      <c r="M157" s="56"/>
    </row>
    <row r="158" spans="1:13" ht="12.5">
      <c r="A158" s="46" t="s">
        <v>698</v>
      </c>
      <c r="B158" s="147" t="str">
        <f>HYPERLINK("http://codeforces.com/contest/389/problem/C","CF389-D2-C")</f>
        <v>CF389-D2-C</v>
      </c>
      <c r="C158" s="67"/>
      <c r="D158" s="67"/>
      <c r="E158" s="67"/>
      <c r="F158" s="67"/>
      <c r="G158" s="67"/>
      <c r="H158" s="67"/>
      <c r="I158" s="36">
        <f t="shared" si="1"/>
        <v>0</v>
      </c>
      <c r="J158" s="36"/>
      <c r="K158" s="36"/>
      <c r="L158" s="67"/>
      <c r="M158" s="56"/>
    </row>
    <row r="159" spans="1:13" ht="12.5">
      <c r="A159" s="46" t="s">
        <v>699</v>
      </c>
      <c r="B159" s="147" t="str">
        <f>HYPERLINK("http://codeforces.com/contest/218/problem/C","CF218-D2-C")</f>
        <v>CF218-D2-C</v>
      </c>
      <c r="C159" s="67"/>
      <c r="D159" s="67"/>
      <c r="E159" s="67"/>
      <c r="F159" s="67"/>
      <c r="G159" s="67"/>
      <c r="H159" s="67"/>
      <c r="I159" s="36">
        <f t="shared" si="1"/>
        <v>0</v>
      </c>
      <c r="J159" s="36"/>
      <c r="K159" s="36"/>
      <c r="L159" s="67"/>
      <c r="M159" s="56"/>
    </row>
    <row r="160" spans="1:13" ht="12.5">
      <c r="A160" s="46" t="s">
        <v>700</v>
      </c>
      <c r="B160" s="147" t="str">
        <f>HYPERLINK("http://codeforces.com/contest/441/problem/C","CF441-D2-C")</f>
        <v>CF441-D2-C</v>
      </c>
      <c r="C160" s="67"/>
      <c r="D160" s="67"/>
      <c r="E160" s="67"/>
      <c r="F160" s="67"/>
      <c r="G160" s="67"/>
      <c r="H160" s="67"/>
      <c r="I160" s="36">
        <f t="shared" si="1"/>
        <v>0</v>
      </c>
      <c r="J160" s="36"/>
      <c r="K160" s="36"/>
      <c r="L160" s="67"/>
      <c r="M160" s="56"/>
    </row>
    <row r="161" spans="1:13" ht="12.5">
      <c r="A161" s="46" t="s">
        <v>701</v>
      </c>
      <c r="B161" s="147" t="str">
        <f>HYPERLINK("http://codeforces.com/contest/271/problem/C","CF271-D2-C")</f>
        <v>CF271-D2-C</v>
      </c>
      <c r="C161" s="67"/>
      <c r="D161" s="67"/>
      <c r="E161" s="67"/>
      <c r="F161" s="67"/>
      <c r="G161" s="67"/>
      <c r="H161" s="67"/>
      <c r="I161" s="36">
        <f t="shared" si="1"/>
        <v>0</v>
      </c>
      <c r="J161" s="36"/>
      <c r="K161" s="36"/>
      <c r="L161" s="67"/>
      <c r="M161" s="56"/>
    </row>
    <row r="162" spans="1:13" ht="12.5">
      <c r="A162" s="46" t="s">
        <v>702</v>
      </c>
      <c r="B162" s="169" t="str">
        <f>HYPERLINK("http://www.spoj.com/problems/CERC07K/","SPOJ CERC07K")</f>
        <v>SPOJ CERC07K</v>
      </c>
      <c r="C162" s="10"/>
      <c r="D162" s="10"/>
      <c r="E162" s="10"/>
      <c r="F162" s="10"/>
      <c r="G162" s="10"/>
      <c r="H162" s="10"/>
      <c r="I162" s="67">
        <f t="shared" si="1"/>
        <v>0</v>
      </c>
      <c r="J162" s="10"/>
      <c r="K162" s="10"/>
      <c r="L162" s="10"/>
      <c r="M162" s="10"/>
    </row>
    <row r="163" spans="1:13" ht="12.5">
      <c r="A163" s="46" t="s">
        <v>703</v>
      </c>
      <c r="B163" s="169" t="str">
        <f>HYPERLINK("http://www.spoj.com/problems/CLEANRBT/","SPOJ CLEANRBT")</f>
        <v>SPOJ CLEANRBT</v>
      </c>
      <c r="C163" s="10"/>
      <c r="D163" s="10"/>
      <c r="E163" s="10"/>
      <c r="F163" s="10"/>
      <c r="G163" s="10"/>
      <c r="H163" s="10"/>
      <c r="I163" s="67">
        <f t="shared" si="1"/>
        <v>0</v>
      </c>
      <c r="J163" s="10"/>
      <c r="K163" s="10"/>
      <c r="L163" s="10"/>
      <c r="M163" s="10"/>
    </row>
    <row r="164" spans="1:13" ht="12.5">
      <c r="A164" s="46"/>
      <c r="B164" s="46"/>
      <c r="C164" s="67"/>
      <c r="D164" s="67"/>
      <c r="E164" s="67"/>
      <c r="F164" s="67"/>
      <c r="G164" s="67"/>
      <c r="H164" s="67"/>
      <c r="I164" s="36">
        <f t="shared" si="1"/>
        <v>0</v>
      </c>
      <c r="J164" s="36"/>
      <c r="K164" s="36"/>
      <c r="L164" s="67"/>
      <c r="M164" s="56"/>
    </row>
    <row r="165" spans="1:13" ht="12.5">
      <c r="A165" s="46" t="s">
        <v>704</v>
      </c>
      <c r="B165" s="147" t="str">
        <f>HYPERLINK("http://codeforces.com/contest/701/problem/C","CF701-D2-C")</f>
        <v>CF701-D2-C</v>
      </c>
      <c r="C165" s="67"/>
      <c r="D165" s="67"/>
      <c r="E165" s="67"/>
      <c r="F165" s="67"/>
      <c r="G165" s="67"/>
      <c r="H165" s="67"/>
      <c r="I165" s="36">
        <f t="shared" si="1"/>
        <v>0</v>
      </c>
      <c r="J165" s="36"/>
      <c r="K165" s="36"/>
      <c r="L165" s="67"/>
      <c r="M165" s="56"/>
    </row>
    <row r="166" spans="1:13" ht="12.5">
      <c r="A166" s="46" t="s">
        <v>705</v>
      </c>
      <c r="B166" s="147" t="str">
        <f>HYPERLINK("http://codeforces.com/contest/16/problem/C","CF16-D2-C")</f>
        <v>CF16-D2-C</v>
      </c>
      <c r="C166" s="67"/>
      <c r="D166" s="67"/>
      <c r="E166" s="67"/>
      <c r="F166" s="67"/>
      <c r="G166" s="67"/>
      <c r="H166" s="67"/>
      <c r="I166" s="36">
        <f t="shared" si="1"/>
        <v>0</v>
      </c>
      <c r="J166" s="36"/>
      <c r="K166" s="36"/>
      <c r="L166" s="67"/>
      <c r="M166" s="56"/>
    </row>
    <row r="167" spans="1:13" ht="12.5">
      <c r="A167" s="46" t="s">
        <v>706</v>
      </c>
      <c r="B167" s="147" t="str">
        <f>HYPERLINK("http://codeforces.com/contest/22/problem/C","CF22-D2-C")</f>
        <v>CF22-D2-C</v>
      </c>
      <c r="C167" s="67"/>
      <c r="D167" s="67"/>
      <c r="E167" s="67"/>
      <c r="F167" s="67"/>
      <c r="G167" s="67"/>
      <c r="H167" s="67"/>
      <c r="I167" s="36">
        <f t="shared" si="1"/>
        <v>0</v>
      </c>
      <c r="J167" s="36"/>
      <c r="K167" s="36"/>
      <c r="L167" s="67"/>
      <c r="M167" s="56"/>
    </row>
    <row r="168" spans="1:13" ht="12.5">
      <c r="A168" s="46" t="s">
        <v>707</v>
      </c>
      <c r="B168" s="147" t="str">
        <f>HYPERLINK("http://codeforces.com/contest/122/problem/C","CF122-D2-C")</f>
        <v>CF122-D2-C</v>
      </c>
      <c r="C168" s="67"/>
      <c r="D168" s="67"/>
      <c r="E168" s="67"/>
      <c r="F168" s="67"/>
      <c r="G168" s="67"/>
      <c r="H168" s="67"/>
      <c r="I168" s="36">
        <f t="shared" si="1"/>
        <v>0</v>
      </c>
      <c r="J168" s="36"/>
      <c r="K168" s="36"/>
      <c r="L168" s="67"/>
      <c r="M168" s="56"/>
    </row>
    <row r="169" spans="1:13" ht="12.5">
      <c r="A169" s="46" t="s">
        <v>708</v>
      </c>
      <c r="B169" s="147" t="str">
        <f>HYPERLINK("http://codeforces.com/contest/688/problem/C","CF688-D2-C")</f>
        <v>CF688-D2-C</v>
      </c>
      <c r="C169" s="67"/>
      <c r="D169" s="67"/>
      <c r="E169" s="67"/>
      <c r="F169" s="67"/>
      <c r="G169" s="67"/>
      <c r="H169" s="67"/>
      <c r="I169" s="36">
        <f t="shared" si="1"/>
        <v>0</v>
      </c>
      <c r="J169" s="36"/>
      <c r="K169" s="36"/>
      <c r="L169" s="67"/>
      <c r="M169" s="56"/>
    </row>
    <row r="170" spans="1:13" ht="12.5">
      <c r="A170" s="46" t="s">
        <v>709</v>
      </c>
      <c r="B170" s="147" t="str">
        <f>HYPERLINK("http://codeforces.com/contest/743/problem/C","CF743-D2-C")</f>
        <v>CF743-D2-C</v>
      </c>
      <c r="C170" s="67"/>
      <c r="D170" s="67"/>
      <c r="E170" s="67"/>
      <c r="F170" s="67"/>
      <c r="G170" s="67"/>
      <c r="H170" s="67"/>
      <c r="I170" s="36">
        <f t="shared" si="1"/>
        <v>0</v>
      </c>
      <c r="J170" s="36"/>
      <c r="K170" s="36"/>
      <c r="L170" s="67"/>
      <c r="M170" s="56"/>
    </row>
    <row r="171" spans="1:13" ht="12.5">
      <c r="A171" s="46" t="s">
        <v>710</v>
      </c>
      <c r="B171" s="147" t="str">
        <f>HYPERLINK("http://codeforces.com/contest/556/problem/C","CF556-D2-C")</f>
        <v>CF556-D2-C</v>
      </c>
      <c r="C171" s="67"/>
      <c r="D171" s="67"/>
      <c r="E171" s="67"/>
      <c r="F171" s="67"/>
      <c r="G171" s="67"/>
      <c r="H171" s="67"/>
      <c r="I171" s="36">
        <f t="shared" si="1"/>
        <v>0</v>
      </c>
      <c r="J171" s="36"/>
      <c r="K171" s="36"/>
      <c r="L171" s="67"/>
      <c r="M171" s="56"/>
    </row>
    <row r="172" spans="1:13" ht="12.5">
      <c r="A172" s="46" t="s">
        <v>711</v>
      </c>
      <c r="B172" s="147" t="str">
        <f>HYPERLINK("http://codeforces.com/contest/677/problem/C","CF677-D2-C")</f>
        <v>CF677-D2-C</v>
      </c>
      <c r="C172" s="67"/>
      <c r="D172" s="67"/>
      <c r="E172" s="67"/>
      <c r="F172" s="67"/>
      <c r="G172" s="67"/>
      <c r="H172" s="67"/>
      <c r="I172" s="36">
        <f t="shared" si="1"/>
        <v>0</v>
      </c>
      <c r="J172" s="36"/>
      <c r="K172" s="36"/>
      <c r="L172" s="67"/>
      <c r="M172" s="56"/>
    </row>
    <row r="173" spans="1:13" ht="12.5">
      <c r="A173" s="46" t="s">
        <v>712</v>
      </c>
      <c r="B173" s="147" t="str">
        <f>HYPERLINK("http://codeforces.com/contest/479/problem/C","CF479-D2-C")</f>
        <v>CF479-D2-C</v>
      </c>
      <c r="C173" s="67"/>
      <c r="D173" s="67"/>
      <c r="E173" s="67"/>
      <c r="F173" s="67"/>
      <c r="G173" s="67"/>
      <c r="H173" s="67"/>
      <c r="I173" s="36">
        <f t="shared" si="1"/>
        <v>0</v>
      </c>
      <c r="J173" s="36"/>
      <c r="K173" s="36"/>
      <c r="L173" s="67"/>
      <c r="M173" s="56"/>
    </row>
    <row r="174" spans="1:13" ht="12.5">
      <c r="A174" s="56" t="s">
        <v>713</v>
      </c>
      <c r="B174" s="87" t="str">
        <f>HYPERLINK("http://codeforces.com/contest/456/problem/C","CF456-D2-C")</f>
        <v>CF456-D2-C</v>
      </c>
      <c r="C174" s="10"/>
      <c r="D174" s="10"/>
      <c r="E174" s="10"/>
      <c r="F174" s="10"/>
      <c r="G174" s="10"/>
      <c r="H174" s="10"/>
      <c r="I174" s="67">
        <f t="shared" si="1"/>
        <v>0</v>
      </c>
      <c r="J174" s="10"/>
      <c r="K174" s="10"/>
      <c r="L174" s="10"/>
      <c r="M174" s="10"/>
    </row>
    <row r="175" spans="1:13" ht="12.5">
      <c r="A175" s="56" t="s">
        <v>714</v>
      </c>
      <c r="B175" s="87" t="str">
        <f>HYPERLINK("http://codeforces.com/contest/278/problem/C","CF278-D2-C")</f>
        <v>CF278-D2-C</v>
      </c>
      <c r="C175" s="10"/>
      <c r="D175" s="10"/>
      <c r="E175" s="10"/>
      <c r="F175" s="10"/>
      <c r="G175" s="10"/>
      <c r="H175" s="10"/>
      <c r="I175" s="67">
        <f t="shared" si="1"/>
        <v>0</v>
      </c>
      <c r="J175" s="10"/>
      <c r="K175" s="10"/>
      <c r="L175" s="10"/>
      <c r="M175" s="10"/>
    </row>
    <row r="176" spans="1:13" ht="12.5">
      <c r="A176" s="56" t="s">
        <v>715</v>
      </c>
      <c r="B176" s="87" t="str">
        <f>HYPERLINK("http://codeforces.com/contest/268/problem/C","CF268-D2-C")</f>
        <v>CF268-D2-C</v>
      </c>
      <c r="C176" s="10"/>
      <c r="D176" s="10"/>
      <c r="E176" s="10"/>
      <c r="F176" s="10"/>
      <c r="G176" s="10"/>
      <c r="H176" s="10"/>
      <c r="I176" s="67">
        <f t="shared" si="1"/>
        <v>0</v>
      </c>
      <c r="J176" s="10"/>
      <c r="K176" s="10"/>
      <c r="L176" s="10"/>
      <c r="M176" s="10"/>
    </row>
    <row r="177" spans="1:13" ht="12.5">
      <c r="A177" s="46"/>
      <c r="B177" s="46"/>
      <c r="C177" s="67"/>
      <c r="D177" s="67"/>
      <c r="E177" s="67"/>
      <c r="F177" s="67"/>
      <c r="G177" s="67"/>
      <c r="H177" s="67"/>
      <c r="I177" s="36">
        <f t="shared" si="1"/>
        <v>0</v>
      </c>
      <c r="J177" s="36"/>
      <c r="K177" s="36"/>
      <c r="L177" s="67"/>
      <c r="M177" s="56"/>
    </row>
    <row r="178" spans="1:13" ht="12.5">
      <c r="A178" s="56" t="s">
        <v>716</v>
      </c>
      <c r="B178" s="171" t="str">
        <f>HYPERLINK("https://uva.onlinejudge.org/index.php?option=com_onlinejudge&amp;Itemid=8&amp;page=show_problem&amp;problem=438","UVA 497")</f>
        <v>UVA 497</v>
      </c>
      <c r="C178" s="10"/>
      <c r="D178" s="10"/>
      <c r="E178" s="10"/>
      <c r="F178" s="10"/>
      <c r="G178" s="10"/>
      <c r="H178" s="10"/>
      <c r="I178" s="67">
        <f t="shared" si="1"/>
        <v>0</v>
      </c>
      <c r="J178" s="10"/>
      <c r="K178" s="10"/>
      <c r="L178" s="10"/>
      <c r="M178" s="172" t="s">
        <v>627</v>
      </c>
    </row>
    <row r="179" spans="1:13" ht="12.5">
      <c r="A179" s="56" t="s">
        <v>717</v>
      </c>
      <c r="B179" s="171" t="str">
        <f>HYPERLINK("https://uva.onlinejudge.org/index.php?option=com_onlinejudge&amp;Itemid=8&amp;page=show_problem&amp;problem=1680","UVA 10739")</f>
        <v>UVA 10739</v>
      </c>
      <c r="C179" s="67"/>
      <c r="D179" s="67"/>
      <c r="E179" s="67"/>
      <c r="F179" s="67"/>
      <c r="G179" s="67"/>
      <c r="H179" s="67"/>
      <c r="I179" s="36">
        <f t="shared" si="1"/>
        <v>0</v>
      </c>
      <c r="J179" s="36"/>
      <c r="K179" s="36"/>
      <c r="L179" s="67"/>
      <c r="M179" s="56" t="s">
        <v>627</v>
      </c>
    </row>
    <row r="180" spans="1:13" ht="12.5">
      <c r="A180" s="56" t="s">
        <v>718</v>
      </c>
      <c r="B180" s="171" t="str">
        <f>HYPERLINK("https://uva.onlinejudge.org/index.php?option=onlinejudge&amp;page=show_problem&amp;problem=1760","UVA 10819")</f>
        <v>UVA 10819</v>
      </c>
      <c r="C180" s="10"/>
      <c r="D180" s="10"/>
      <c r="E180" s="10"/>
      <c r="F180" s="10"/>
      <c r="G180" s="10"/>
      <c r="H180" s="10"/>
      <c r="I180" s="67">
        <f t="shared" si="1"/>
        <v>0</v>
      </c>
      <c r="J180" s="10"/>
      <c r="K180" s="10"/>
      <c r="L180" s="10"/>
      <c r="M180" s="10"/>
    </row>
    <row r="181" spans="1:13" ht="12.5">
      <c r="A181" s="56" t="s">
        <v>719</v>
      </c>
      <c r="B181" s="87" t="str">
        <f>HYPERLINK("http://codeforces.com/contest/812/problem/C","CF812-D2-C")</f>
        <v>CF812-D2-C</v>
      </c>
      <c r="C181" s="10"/>
      <c r="D181" s="10"/>
      <c r="E181" s="10"/>
      <c r="F181" s="10"/>
      <c r="G181" s="10"/>
      <c r="H181" s="10"/>
      <c r="I181" s="67">
        <f t="shared" si="1"/>
        <v>0</v>
      </c>
      <c r="J181" s="10"/>
      <c r="K181" s="10"/>
      <c r="L181" s="10"/>
      <c r="M181" s="87" t="str">
        <f>HYPERLINK("https://www.youtube.com/watch?v=SDEpB87Uxpg","Video Solution - Solver to be (Java)")</f>
        <v>Video Solution - Solver to be (Java)</v>
      </c>
    </row>
    <row r="182" spans="1:13" ht="12.5">
      <c r="A182" s="46" t="s">
        <v>720</v>
      </c>
      <c r="B182" s="147" t="str">
        <f>HYPERLINK("http://codeforces.com/contest/330/problem/C","CF330-D2-C")</f>
        <v>CF330-D2-C</v>
      </c>
      <c r="C182" s="67"/>
      <c r="D182" s="67"/>
      <c r="E182" s="67"/>
      <c r="F182" s="67"/>
      <c r="G182" s="67"/>
      <c r="H182" s="67"/>
      <c r="I182" s="36">
        <f t="shared" si="1"/>
        <v>0</v>
      </c>
      <c r="J182" s="36"/>
      <c r="K182" s="36"/>
      <c r="L182" s="67"/>
      <c r="M182" s="56"/>
    </row>
    <row r="183" spans="1:13" ht="12.5">
      <c r="A183" s="46" t="s">
        <v>721</v>
      </c>
      <c r="B183" s="147" t="str">
        <f>HYPERLINK("http://codeforces.com/contest/149/problem/C","CF149-D2-C")</f>
        <v>CF149-D2-C</v>
      </c>
      <c r="C183" s="67"/>
      <c r="D183" s="67"/>
      <c r="E183" s="67"/>
      <c r="F183" s="67"/>
      <c r="G183" s="67"/>
      <c r="H183" s="67"/>
      <c r="I183" s="36">
        <f t="shared" si="1"/>
        <v>0</v>
      </c>
      <c r="J183" s="36"/>
      <c r="K183" s="36"/>
      <c r="L183" s="67"/>
      <c r="M183" s="56"/>
    </row>
    <row r="184" spans="1:13" ht="12.5">
      <c r="A184" s="46" t="s">
        <v>722</v>
      </c>
      <c r="B184" s="147" t="str">
        <f>HYPERLINK("http://codeforces.com/contest/49/problem/C","CF49-D2-C")</f>
        <v>CF49-D2-C</v>
      </c>
      <c r="C184" s="67"/>
      <c r="D184" s="67"/>
      <c r="E184" s="67"/>
      <c r="F184" s="67"/>
      <c r="G184" s="67"/>
      <c r="H184" s="67"/>
      <c r="I184" s="36">
        <f t="shared" si="1"/>
        <v>0</v>
      </c>
      <c r="J184" s="36"/>
      <c r="K184" s="36"/>
      <c r="L184" s="67"/>
      <c r="M184" s="56"/>
    </row>
    <row r="185" spans="1:13" ht="12.5">
      <c r="A185" s="46" t="s">
        <v>723</v>
      </c>
      <c r="B185" s="147" t="str">
        <f>HYPERLINK("http://codeforces.com/contest/415/problem/C","CF415-D2-C")</f>
        <v>CF415-D2-C</v>
      </c>
      <c r="C185" s="67"/>
      <c r="D185" s="67"/>
      <c r="E185" s="67"/>
      <c r="F185" s="67"/>
      <c r="G185" s="67"/>
      <c r="H185" s="67"/>
      <c r="I185" s="36">
        <f t="shared" si="1"/>
        <v>0</v>
      </c>
      <c r="J185" s="36"/>
      <c r="K185" s="36"/>
      <c r="L185" s="67"/>
      <c r="M185" s="56"/>
    </row>
    <row r="186" spans="1:13" ht="12.5">
      <c r="A186" s="46" t="s">
        <v>724</v>
      </c>
      <c r="B186" s="147" t="str">
        <f>HYPERLINK("http://codeforces.com/contest/129/problem/C","CF129-D2-C")</f>
        <v>CF129-D2-C</v>
      </c>
      <c r="C186" s="67"/>
      <c r="D186" s="67"/>
      <c r="E186" s="67"/>
      <c r="F186" s="67"/>
      <c r="G186" s="67"/>
      <c r="H186" s="67"/>
      <c r="I186" s="36">
        <f t="shared" si="1"/>
        <v>0</v>
      </c>
      <c r="J186" s="36"/>
      <c r="K186" s="36"/>
      <c r="L186" s="67"/>
      <c r="M186" s="56"/>
    </row>
    <row r="187" spans="1:13" ht="12.5">
      <c r="A187" s="46" t="s">
        <v>725</v>
      </c>
      <c r="B187" s="147" t="str">
        <f>HYPERLINK("http://codeforces.com/contest/400/problem/C","CF400-D2-C")</f>
        <v>CF400-D2-C</v>
      </c>
      <c r="C187" s="67"/>
      <c r="D187" s="67"/>
      <c r="E187" s="67"/>
      <c r="F187" s="67"/>
      <c r="G187" s="67"/>
      <c r="H187" s="67"/>
      <c r="I187" s="36">
        <f t="shared" si="1"/>
        <v>0</v>
      </c>
      <c r="J187" s="36"/>
      <c r="K187" s="36"/>
      <c r="L187" s="67"/>
      <c r="M187" s="56"/>
    </row>
    <row r="188" spans="1:13" ht="12.5">
      <c r="A188" s="46" t="s">
        <v>726</v>
      </c>
      <c r="B188" s="147" t="str">
        <f>HYPERLINK("http://codeforces.com/contest/144/problem/C","CF144-D2-C")</f>
        <v>CF144-D2-C</v>
      </c>
      <c r="C188" s="67"/>
      <c r="D188" s="67"/>
      <c r="E188" s="67"/>
      <c r="F188" s="67"/>
      <c r="G188" s="67"/>
      <c r="H188" s="67"/>
      <c r="I188" s="36">
        <f t="shared" si="1"/>
        <v>0</v>
      </c>
      <c r="J188" s="36"/>
      <c r="K188" s="36"/>
      <c r="L188" s="67"/>
      <c r="M188" s="56"/>
    </row>
    <row r="189" spans="1:13" ht="12.5">
      <c r="A189" s="46" t="s">
        <v>727</v>
      </c>
      <c r="B189" s="147" t="str">
        <f>HYPERLINK("http://codeforces.com/contest/525/problem/C","CF525-D2-C")</f>
        <v>CF525-D2-C</v>
      </c>
      <c r="C189" s="67"/>
      <c r="D189" s="67"/>
      <c r="E189" s="67"/>
      <c r="F189" s="67"/>
      <c r="G189" s="67"/>
      <c r="H189" s="67"/>
      <c r="I189" s="36">
        <f t="shared" si="1"/>
        <v>0</v>
      </c>
      <c r="J189" s="36"/>
      <c r="K189" s="36"/>
      <c r="L189" s="67"/>
      <c r="M189" s="56"/>
    </row>
    <row r="190" spans="1:13" ht="12.5">
      <c r="A190" s="46" t="s">
        <v>728</v>
      </c>
      <c r="B190" s="147" t="str">
        <f>HYPERLINK("http://codeforces.com/contest/599/problem/C","CF599-D2-C")</f>
        <v>CF599-D2-C</v>
      </c>
      <c r="C190" s="67"/>
      <c r="D190" s="67"/>
      <c r="E190" s="67"/>
      <c r="F190" s="67"/>
      <c r="G190" s="67"/>
      <c r="H190" s="67"/>
      <c r="I190" s="36">
        <f t="shared" si="1"/>
        <v>0</v>
      </c>
      <c r="J190" s="36"/>
      <c r="K190" s="36"/>
      <c r="L190" s="67"/>
      <c r="M190" s="56"/>
    </row>
    <row r="191" spans="1:13" ht="12.5">
      <c r="A191" s="46"/>
      <c r="B191" s="46"/>
      <c r="C191" s="67"/>
      <c r="D191" s="67"/>
      <c r="E191" s="67"/>
      <c r="F191" s="67"/>
      <c r="G191" s="67"/>
      <c r="H191" s="67"/>
      <c r="I191" s="36">
        <f t="shared" si="1"/>
        <v>0</v>
      </c>
      <c r="J191" s="36"/>
      <c r="K191" s="36"/>
      <c r="L191" s="67"/>
      <c r="M191" s="56"/>
    </row>
    <row r="192" spans="1:13" ht="12.5">
      <c r="A192" s="56" t="s">
        <v>729</v>
      </c>
      <c r="B192" s="87" t="str">
        <f>HYPERLINK("http://codeforces.com/contest/462/problem/C","CF462-D2-C")</f>
        <v>CF462-D2-C</v>
      </c>
      <c r="C192" s="10"/>
      <c r="D192" s="10"/>
      <c r="E192" s="10"/>
      <c r="F192" s="10"/>
      <c r="G192" s="10"/>
      <c r="H192" s="10"/>
      <c r="I192" s="67">
        <f t="shared" si="1"/>
        <v>0</v>
      </c>
      <c r="J192" s="10"/>
      <c r="K192" s="10"/>
      <c r="L192" s="10"/>
      <c r="M192" s="87" t="str">
        <f>HYPERLINK("https://github.com/MedoN11/CompetitiveProgramming/blob/master/Atcoder/CF_462C.java","Sol")</f>
        <v>Sol</v>
      </c>
    </row>
    <row r="193" spans="1:13" ht="12.5">
      <c r="A193" s="56" t="s">
        <v>730</v>
      </c>
      <c r="B193" s="87" t="str">
        <f>HYPERLINK("http://codeforces.com/contest/518/problem/C","CF518-D2-C")</f>
        <v>CF518-D2-C</v>
      </c>
      <c r="C193" s="10"/>
      <c r="D193" s="10"/>
      <c r="E193" s="10"/>
      <c r="F193" s="10"/>
      <c r="G193" s="10"/>
      <c r="H193" s="10"/>
      <c r="I193" s="67">
        <f t="shared" si="1"/>
        <v>0</v>
      </c>
      <c r="J193" s="10"/>
      <c r="K193" s="10"/>
      <c r="L193" s="10"/>
      <c r="M193" s="10"/>
    </row>
    <row r="194" spans="1:13" ht="12.5">
      <c r="A194" s="56" t="s">
        <v>731</v>
      </c>
      <c r="B194" s="87" t="str">
        <f>HYPERLINK("http://codeforces.com/contest/276/problem/C","CF276-D2-C")</f>
        <v>CF276-D2-C</v>
      </c>
      <c r="C194" s="10"/>
      <c r="D194" s="10"/>
      <c r="E194" s="10"/>
      <c r="F194" s="10"/>
      <c r="G194" s="10"/>
      <c r="H194" s="10"/>
      <c r="I194" s="67">
        <f t="shared" si="1"/>
        <v>0</v>
      </c>
      <c r="J194" s="10"/>
      <c r="K194" s="10"/>
      <c r="L194" s="10"/>
      <c r="M194" s="10"/>
    </row>
    <row r="195" spans="1:13" ht="12.5">
      <c r="A195" s="56" t="s">
        <v>732</v>
      </c>
      <c r="B195" s="87" t="str">
        <f>HYPERLINK("http://codeforces.com/contest/368/problem/C","CF368-D2-C")</f>
        <v>CF368-D2-C</v>
      </c>
      <c r="C195" s="10"/>
      <c r="D195" s="10"/>
      <c r="E195" s="10"/>
      <c r="F195" s="10"/>
      <c r="G195" s="10"/>
      <c r="H195" s="10"/>
      <c r="I195" s="67">
        <f t="shared" si="1"/>
        <v>0</v>
      </c>
      <c r="J195" s="10"/>
      <c r="K195" s="10"/>
      <c r="L195" s="10"/>
      <c r="M195" s="10"/>
    </row>
    <row r="196" spans="1:13" ht="12.5">
      <c r="A196" s="46" t="s">
        <v>733</v>
      </c>
      <c r="B196" s="147" t="str">
        <f>HYPERLINK("http://codeforces.com/contest/437/problem/C","CF437-D2-C")</f>
        <v>CF437-D2-C</v>
      </c>
      <c r="C196" s="67"/>
      <c r="D196" s="67"/>
      <c r="E196" s="67"/>
      <c r="F196" s="67"/>
      <c r="G196" s="67"/>
      <c r="H196" s="67"/>
      <c r="I196" s="36">
        <f t="shared" si="1"/>
        <v>0</v>
      </c>
      <c r="J196" s="36"/>
      <c r="K196" s="36"/>
      <c r="L196" s="67"/>
      <c r="M196" s="56"/>
    </row>
    <row r="197" spans="1:13" ht="12.5">
      <c r="A197" s="46" t="s">
        <v>734</v>
      </c>
      <c r="B197" s="147" t="str">
        <f>HYPERLINK("http://codeforces.com/contest/318/problem/C","CF318-D2-C")</f>
        <v>CF318-D2-C</v>
      </c>
      <c r="C197" s="67"/>
      <c r="D197" s="67"/>
      <c r="E197" s="67"/>
      <c r="F197" s="67"/>
      <c r="G197" s="67"/>
      <c r="H197" s="67"/>
      <c r="I197" s="36">
        <f t="shared" si="1"/>
        <v>0</v>
      </c>
      <c r="J197" s="36"/>
      <c r="K197" s="36"/>
      <c r="L197" s="67"/>
      <c r="M197" s="56"/>
    </row>
    <row r="198" spans="1:13" ht="12.5">
      <c r="A198" s="46" t="s">
        <v>735</v>
      </c>
      <c r="B198" s="147" t="str">
        <f>HYPERLINK("http://codeforces.com/contest/165/problem/C","CF165-D2-C")</f>
        <v>CF165-D2-C</v>
      </c>
      <c r="C198" s="67"/>
      <c r="D198" s="67"/>
      <c r="E198" s="67"/>
      <c r="F198" s="67"/>
      <c r="G198" s="67"/>
      <c r="H198" s="67"/>
      <c r="I198" s="36">
        <f t="shared" si="1"/>
        <v>0</v>
      </c>
      <c r="J198" s="36"/>
      <c r="K198" s="36"/>
      <c r="L198" s="67"/>
      <c r="M198" s="56"/>
    </row>
    <row r="199" spans="1:13" ht="12.5">
      <c r="A199" s="46" t="s">
        <v>736</v>
      </c>
      <c r="B199" s="147" t="str">
        <f>HYPERLINK("http://codeforces.com/contest/731/problem/C","CF731-D2-C")</f>
        <v>CF731-D2-C</v>
      </c>
      <c r="C199" s="67"/>
      <c r="D199" s="67"/>
      <c r="E199" s="67"/>
      <c r="F199" s="67"/>
      <c r="G199" s="67"/>
      <c r="H199" s="67"/>
      <c r="I199" s="36">
        <f t="shared" si="1"/>
        <v>0</v>
      </c>
      <c r="J199" s="36"/>
      <c r="K199" s="36"/>
      <c r="L199" s="67"/>
      <c r="M199" s="56"/>
    </row>
    <row r="200" spans="1:13" ht="12.5">
      <c r="A200" s="46" t="s">
        <v>737</v>
      </c>
      <c r="B200" s="147" t="str">
        <f>HYPERLINK("http://codeforces.com/contest/369/problem/C","CF369-D2-C")</f>
        <v>CF369-D2-C</v>
      </c>
      <c r="C200" s="67"/>
      <c r="D200" s="67"/>
      <c r="E200" s="67"/>
      <c r="F200" s="67"/>
      <c r="G200" s="67"/>
      <c r="H200" s="67"/>
      <c r="I200" s="36">
        <f t="shared" si="1"/>
        <v>0</v>
      </c>
      <c r="J200" s="36"/>
      <c r="K200" s="36"/>
      <c r="L200" s="67"/>
      <c r="M200" s="56"/>
    </row>
  </sheetData>
  <mergeCells count="2">
    <mergeCell ref="D150:G150"/>
    <mergeCell ref="J150:M150"/>
  </mergeCells>
  <conditionalFormatting sqref="C3:C210">
    <cfRule type="cellIs" dxfId="59" priority="4" operator="equal">
      <formula>"AC"</formula>
    </cfRule>
    <cfRule type="containsText" dxfId="58" priority="5" operator="containsText" text="WA">
      <formula>NOT(ISERROR(SEARCH(("WA"),(C3))))</formula>
    </cfRule>
    <cfRule type="containsText" dxfId="57" priority="7" operator="containsText" text="TLE">
      <formula>NOT(ISERROR(SEARCH(("TLE"),(C3))))</formula>
    </cfRule>
    <cfRule type="containsText" dxfId="56" priority="9" operator="containsText" text="RTE">
      <formula>NOT(ISERROR(SEARCH(("RTE"),(C3))))</formula>
    </cfRule>
    <cfRule type="containsText" dxfId="55" priority="11" operator="containsText" text="CS">
      <formula>NOT(ISERROR(SEARCH(("CS"),(C3))))</formula>
    </cfRule>
  </conditionalFormatting>
  <conditionalFormatting sqref="K3:K148 K152:K200">
    <cfRule type="cellIs" dxfId="54" priority="1" operator="equal">
      <formula>"No"</formula>
    </cfRule>
    <cfRule type="cellIs" dxfId="53" priority="2" operator="equal">
      <formula>"no"</formula>
    </cfRule>
    <cfRule type="cellIs" dxfId="52" priority="3" operator="equal">
      <formula>"NO"</formula>
    </cfRule>
  </conditionalFormatting>
  <hyperlinks>
    <hyperlink ref="B22" r:id="rId1" xr:uid="{00000000-0004-0000-0400-000000000000}"/>
    <hyperlink ref="M75" r:id="rId2" xr:uid="{00000000-0004-0000-0400-000001000000}"/>
    <hyperlink ref="M76" r:id="rId3" xr:uid="{00000000-0004-0000-0400-000002000000}"/>
    <hyperlink ref="B94" r:id="rId4" xr:uid="{00000000-0004-0000-0400-000003000000}"/>
    <hyperlink ref="M94" r:id="rId5" xr:uid="{00000000-0004-0000-0400-000004000000}"/>
    <hyperlink ref="M113" r:id="rId6" xr:uid="{00000000-0004-0000-0400-000005000000}"/>
    <hyperlink ref="M115" r:id="rId7" xr:uid="{00000000-0004-0000-0400-000006000000}"/>
    <hyperlink ref="M126" r:id="rId8" xr:uid="{00000000-0004-0000-0400-000007000000}"/>
    <hyperlink ref="M129" r:id="rId9" xr:uid="{00000000-0004-0000-0400-000008000000}"/>
    <hyperlink ref="B143" r:id="rId10" xr:uid="{00000000-0004-0000-0400-000009000000}"/>
  </hyperlinks>
  <pageMargins left="0.7" right="0.7" top="0.75" bottom="0.75" header="0.3" footer="0.3"/>
  <legacyDrawing r:id="rId1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M201"/>
  <sheetViews>
    <sheetView workbookViewId="0">
      <pane xSplit="2" ySplit="2" topLeftCell="C189" activePane="bottomRight" state="frozen"/>
      <selection pane="topRight" activeCell="C1" sqref="C1"/>
      <selection pane="bottomLeft" activeCell="A3" sqref="A3"/>
      <selection pane="bottomRight" activeCell="C3" sqref="C3"/>
    </sheetView>
  </sheetViews>
  <sheetFormatPr defaultColWidth="15.1796875" defaultRowHeight="15.75" customHeight="1"/>
  <cols>
    <col min="1" max="1" width="15.1796875" customWidth="1"/>
    <col min="3" max="3" width="6" customWidth="1"/>
    <col min="4" max="4" width="6.453125" customWidth="1"/>
    <col min="5" max="5" width="7.453125" customWidth="1"/>
    <col min="6" max="6" width="7.54296875" customWidth="1"/>
    <col min="7" max="7" width="8.7265625" customWidth="1"/>
    <col min="8" max="9" width="7.453125" customWidth="1"/>
    <col min="10" max="12" width="8.7265625" customWidth="1"/>
    <col min="13" max="13" width="67" customWidth="1"/>
  </cols>
  <sheetData>
    <row r="1" spans="1:13" ht="15.75" customHeight="1">
      <c r="A1" s="108" t="s">
        <v>146</v>
      </c>
      <c r="B1" s="108" t="s">
        <v>147</v>
      </c>
      <c r="C1" s="32" t="s">
        <v>148</v>
      </c>
      <c r="D1" s="32" t="s">
        <v>149</v>
      </c>
      <c r="E1" s="32" t="s">
        <v>150</v>
      </c>
      <c r="F1" s="32" t="s">
        <v>151</v>
      </c>
      <c r="G1" s="32" t="s">
        <v>152</v>
      </c>
      <c r="H1" s="32" t="s">
        <v>153</v>
      </c>
      <c r="I1" s="32" t="s">
        <v>154</v>
      </c>
      <c r="J1" s="32" t="s">
        <v>155</v>
      </c>
      <c r="K1" s="32" t="s">
        <v>156</v>
      </c>
      <c r="L1" s="32" t="s">
        <v>157</v>
      </c>
      <c r="M1" s="34" t="s">
        <v>158</v>
      </c>
    </row>
    <row r="2" spans="1:13" ht="15.75" customHeight="1">
      <c r="A2" s="109"/>
      <c r="B2" s="56" t="s">
        <v>159</v>
      </c>
      <c r="C2" s="37">
        <f>COUNTIF(C3:C10507, "AC")</f>
        <v>0</v>
      </c>
      <c r="D2" s="37" t="e">
        <f ca="1">ROUND(SUMPRODUCT(D3:D10507,INT(EQ(C3:C10507, "AC")))/MAX(1, C2),1)</f>
        <v>#NAME?</v>
      </c>
      <c r="E2" s="37" t="e">
        <f ca="1">ROUND(SUMPRODUCT(E3:E10529,INT(EQ(C3:C10529, "AC")))/MAX(1, C2),0)</f>
        <v>#NAME?</v>
      </c>
      <c r="F2" s="37" t="e">
        <f ca="1">ROUND(SUMPRODUCT(F3:F10532,INT(EQ(C3:C10532, "AC")))/MAX(1, C2),0)</f>
        <v>#NAME?</v>
      </c>
      <c r="G2" s="37" t="e">
        <f ca="1">ROUND(SUMPRODUCT(G3:G10532,INT(EQ(C3:C10532, "AC")))/MAX(1, C2),0)</f>
        <v>#NAME?</v>
      </c>
      <c r="H2" s="37" t="e">
        <f ca="1">ROUND(SUMPRODUCT(H3:H10532,INT(EQ(C3:C10532, "AC")))/MAX(1, C2),0)</f>
        <v>#NAME?</v>
      </c>
      <c r="I2" s="37" t="e">
        <f ca="1">ROUND(SUMPRODUCT(I3:I10504,INT(EQ(C3:C10504, "AC")))/MAX(1, C2),0)</f>
        <v>#NAME?</v>
      </c>
      <c r="J2" s="37" t="e">
        <f ca="1">ROUND(SUMPRODUCT(J3:J10502,INT(EQ(C3:C10502, "AC")))/MAX(1, C2),1)</f>
        <v>#NAME?</v>
      </c>
      <c r="K2" s="37" t="e">
        <f ca="1">SUMPRODUCT(EQ(K3:K10507, "YES"),INT(EQ(C3:C10532, "AC")))</f>
        <v>#NAME?</v>
      </c>
      <c r="L2" s="38">
        <f ca="1">IFERROR(__xludf.DUMMYFUNCTION("COUNTA(FILTER(C3:C9999, NOT(REGEXMATCH(C3:C9999, ""AC""))))"),0)</f>
        <v>0</v>
      </c>
      <c r="M2" s="39">
        <f ca="1">IFERROR(__xludf.DUMMYFUNCTION("COUNTA(FILTER(C3:C9993, NOT(REGEXMATCH(C3:C9993, ""AC""))))"),0)</f>
        <v>0</v>
      </c>
    </row>
    <row r="3" spans="1:13" ht="15.75" customHeight="1">
      <c r="A3" s="56"/>
      <c r="B3" s="56"/>
      <c r="C3" s="67"/>
      <c r="D3" s="67"/>
      <c r="E3" s="67"/>
      <c r="F3" s="67"/>
      <c r="G3" s="67"/>
      <c r="H3" s="67"/>
      <c r="I3" s="36">
        <f t="shared" ref="I3:I49" si="0">SUM(E3:H3)</f>
        <v>0</v>
      </c>
      <c r="J3" s="36"/>
      <c r="K3" s="36"/>
      <c r="L3" s="67"/>
      <c r="M3" s="113" t="str">
        <f>HYPERLINK("https://www.youtube.com/watch?v=YUIwEX8UEN0","Watch - Thinking - Search Space and Output Analysis")</f>
        <v>Watch - Thinking - Search Space and Output Analysis</v>
      </c>
    </row>
    <row r="4" spans="1:13" ht="15.75" customHeight="1">
      <c r="A4" s="56"/>
      <c r="B4" s="56"/>
      <c r="C4" s="67"/>
      <c r="D4" s="67"/>
      <c r="E4" s="67"/>
      <c r="F4" s="67"/>
      <c r="G4" s="67"/>
      <c r="H4" s="67"/>
      <c r="I4" s="36">
        <f t="shared" si="0"/>
        <v>0</v>
      </c>
      <c r="J4" s="36"/>
      <c r="K4" s="36"/>
      <c r="L4" s="67"/>
      <c r="M4" s="110" t="str">
        <f>HYPERLINK("https://www.youtube.com/watch?v=TP8QXP6PBqM","Watch - Thinking - Observations Discovery ")</f>
        <v xml:space="preserve">Watch - Thinking - Observations Discovery </v>
      </c>
    </row>
    <row r="5" spans="1:13" ht="15.75" customHeight="1">
      <c r="A5" s="56"/>
      <c r="B5" s="56"/>
      <c r="C5" s="67"/>
      <c r="D5" s="67"/>
      <c r="E5" s="67"/>
      <c r="F5" s="67"/>
      <c r="G5" s="67"/>
      <c r="H5" s="67"/>
      <c r="I5" s="36">
        <f t="shared" si="0"/>
        <v>0</v>
      </c>
      <c r="J5" s="36"/>
      <c r="K5" s="36"/>
      <c r="L5" s="67"/>
      <c r="M5" s="110" t="str">
        <f>HYPERLINK("https://www.youtube.com/watch?v=rdUs4FGkgRo","Watch - Game Theory - Intro")</f>
        <v>Watch - Game Theory - Intro</v>
      </c>
    </row>
    <row r="6" spans="1:13" ht="15.75" customHeight="1">
      <c r="A6" s="74" t="s">
        <v>738</v>
      </c>
      <c r="B6" s="128" t="str">
        <f>HYPERLINK("http://codeforces.com/contest/151/problem/C","CF151-D2-C")</f>
        <v>CF151-D2-C</v>
      </c>
      <c r="C6" s="67"/>
      <c r="D6" s="67"/>
      <c r="E6" s="67"/>
      <c r="F6" s="67"/>
      <c r="G6" s="67"/>
      <c r="H6" s="67"/>
      <c r="I6" s="36">
        <f t="shared" si="0"/>
        <v>0</v>
      </c>
      <c r="J6" s="36"/>
      <c r="K6" s="36"/>
      <c r="L6" s="67"/>
      <c r="M6" s="59" t="str">
        <f>HYPERLINK("https://www.youtube.com/watch?v=SY88_vndOgI","Video Solution - Dr Mostafa Saad")</f>
        <v>Video Solution - Dr Mostafa Saad</v>
      </c>
    </row>
    <row r="7" spans="1:13" ht="15.75" customHeight="1">
      <c r="A7" s="74" t="s">
        <v>739</v>
      </c>
      <c r="B7" s="128" t="str">
        <f>HYPERLINK("https://uva.onlinejudge.org/index.php?option=onlinejudge&amp;page=show_problem&amp;problem=1309","UVA 10368")</f>
        <v>UVA 10368</v>
      </c>
      <c r="C7" s="10"/>
      <c r="D7" s="10"/>
      <c r="E7" s="10"/>
      <c r="F7" s="10"/>
      <c r="G7" s="10"/>
      <c r="H7" s="10"/>
      <c r="I7" s="67">
        <f t="shared" si="0"/>
        <v>0</v>
      </c>
      <c r="J7" s="10"/>
      <c r="K7" s="10"/>
      <c r="L7" s="10"/>
      <c r="M7" s="156" t="str">
        <f>HYPERLINK("https://www.youtube.com/watch?v=86oGEiHeDO0","Video Solution - Eng Moaz Rashad")</f>
        <v>Video Solution - Eng Moaz Rashad</v>
      </c>
    </row>
    <row r="8" spans="1:13" ht="15.75" customHeight="1">
      <c r="A8" s="79" t="s">
        <v>740</v>
      </c>
      <c r="B8" s="117" t="str">
        <f>HYPERLINK("http://www.spoj.com/problems/PIR/","SPOJ PIR")</f>
        <v>SPOJ PIR</v>
      </c>
      <c r="C8" s="67"/>
      <c r="D8" s="67"/>
      <c r="E8" s="67"/>
      <c r="F8" s="67"/>
      <c r="G8" s="67"/>
      <c r="H8" s="67"/>
      <c r="I8" s="36">
        <f t="shared" si="0"/>
        <v>0</v>
      </c>
      <c r="J8" s="36"/>
      <c r="K8" s="36"/>
      <c r="L8" s="67"/>
      <c r="M8" s="147" t="str">
        <f>HYPERLINK("https://github.com/mostafa-saad/MyCompetitiveProgramming/blob/master/SPOJ/SPOJ_PIR.txt","Sol")</f>
        <v>Sol</v>
      </c>
    </row>
    <row r="9" spans="1:13" ht="15.75" customHeight="1">
      <c r="A9" s="79" t="s">
        <v>741</v>
      </c>
      <c r="B9" s="117" t="str">
        <f>HYPERLINK("https://uva.onlinejudge.org/index.php?option=com_onlinejudge&amp;Itemid=8&amp;page=show_problem&amp;problem=49","UVA 113")</f>
        <v>UVA 113</v>
      </c>
      <c r="C9" s="67"/>
      <c r="D9" s="67"/>
      <c r="E9" s="67"/>
      <c r="F9" s="67"/>
      <c r="G9" s="67"/>
      <c r="H9" s="67"/>
      <c r="I9" s="36">
        <f t="shared" si="0"/>
        <v>0</v>
      </c>
      <c r="J9" s="36"/>
      <c r="K9" s="36"/>
      <c r="L9" s="67"/>
      <c r="M9" s="173" t="str">
        <f>HYPERLINK("https://github.com/magdy-hasan/competitive-programming/blob/master/uva-/uva%20113%20-%20Power%20of%20Cryptography.cpp","Sol")</f>
        <v>Sol</v>
      </c>
    </row>
    <row r="10" spans="1:13" ht="15.75" customHeight="1">
      <c r="A10" s="79"/>
      <c r="B10" s="79" t="s">
        <v>742</v>
      </c>
      <c r="C10" s="67"/>
      <c r="D10" s="67"/>
      <c r="E10" s="67"/>
      <c r="F10" s="67"/>
      <c r="G10" s="67"/>
      <c r="H10" s="67"/>
      <c r="I10" s="36">
        <f t="shared" si="0"/>
        <v>0</v>
      </c>
      <c r="J10" s="36"/>
      <c r="K10" s="36"/>
      <c r="L10" s="67"/>
      <c r="M10" s="173"/>
    </row>
    <row r="11" spans="1:13" ht="15.75" customHeight="1">
      <c r="A11" s="79" t="s">
        <v>743</v>
      </c>
      <c r="B11" s="148" t="str">
        <f>HYPERLINK("https://uva.onlinejudge.org/index.php?option=onlinejudge&amp;page=show_problem&amp;problem=1403","UVA 10462")</f>
        <v>UVA 10462</v>
      </c>
      <c r="C11" s="67"/>
      <c r="D11" s="67"/>
      <c r="E11" s="67"/>
      <c r="F11" s="67"/>
      <c r="G11" s="67"/>
      <c r="H11" s="67"/>
      <c r="I11" s="36">
        <f t="shared" si="0"/>
        <v>0</v>
      </c>
      <c r="J11" s="10"/>
      <c r="K11" s="10"/>
      <c r="L11" s="10"/>
      <c r="M11" s="134" t="s">
        <v>632</v>
      </c>
    </row>
    <row r="12" spans="1:13" ht="15.75" customHeight="1">
      <c r="A12" s="79"/>
      <c r="B12" s="79" t="s">
        <v>744</v>
      </c>
      <c r="C12" s="67"/>
      <c r="D12" s="67"/>
      <c r="E12" s="67"/>
      <c r="F12" s="67"/>
      <c r="G12" s="67"/>
      <c r="H12" s="67"/>
      <c r="I12" s="36">
        <f t="shared" si="0"/>
        <v>0</v>
      </c>
      <c r="J12" s="10"/>
      <c r="K12" s="10"/>
      <c r="L12" s="10"/>
      <c r="M12" s="10"/>
    </row>
    <row r="13" spans="1:13" ht="15.75" customHeight="1">
      <c r="A13" s="56"/>
      <c r="B13" s="56"/>
      <c r="C13" s="67"/>
      <c r="D13" s="67"/>
      <c r="E13" s="67"/>
      <c r="F13" s="67"/>
      <c r="G13" s="67"/>
      <c r="H13" s="67"/>
      <c r="I13" s="36">
        <f t="shared" si="0"/>
        <v>0</v>
      </c>
      <c r="J13" s="36"/>
      <c r="K13" s="36"/>
      <c r="L13" s="67"/>
      <c r="M13" s="174"/>
    </row>
    <row r="14" spans="1:13" ht="15.75" customHeight="1">
      <c r="A14" s="46" t="s">
        <v>745</v>
      </c>
      <c r="B14" s="147" t="str">
        <f>HYPERLINK("http://codeforces.com/contest/75/problem/C","CF75-D2-C")</f>
        <v>CF75-D2-C</v>
      </c>
      <c r="C14" s="67"/>
      <c r="D14" s="67"/>
      <c r="E14" s="67"/>
      <c r="F14" s="67"/>
      <c r="G14" s="67"/>
      <c r="H14" s="67"/>
      <c r="I14" s="36">
        <f t="shared" si="0"/>
        <v>0</v>
      </c>
      <c r="J14" s="36"/>
      <c r="K14" s="36"/>
      <c r="L14" s="67"/>
      <c r="M14" s="59" t="str">
        <f>HYPERLINK("https://www.youtube.com/watch?v=EZg71v0Z5iE","Video Solution - Dr Mostafa Saad")</f>
        <v>Video Solution - Dr Mostafa Saad</v>
      </c>
    </row>
    <row r="15" spans="1:13" ht="15.75" customHeight="1">
      <c r="A15" s="46" t="s">
        <v>746</v>
      </c>
      <c r="B15" s="147" t="str">
        <f>HYPERLINK("http://codeforces.com/contest/740/problem/C","CF740-D2-C")</f>
        <v>CF740-D2-C</v>
      </c>
      <c r="C15" s="67"/>
      <c r="D15" s="67"/>
      <c r="E15" s="67"/>
      <c r="F15" s="67"/>
      <c r="G15" s="67"/>
      <c r="H15" s="67"/>
      <c r="I15" s="36">
        <f t="shared" si="0"/>
        <v>0</v>
      </c>
      <c r="J15" s="36"/>
      <c r="K15" s="36"/>
      <c r="L15" s="67"/>
      <c r="M15" s="59" t="str">
        <f>HYPERLINK("https://www.youtube.com/watch?v=yDt7GWiPeV4","Video Solution - Dr Mostafa Saad")</f>
        <v>Video Solution - Dr Mostafa Saad</v>
      </c>
    </row>
    <row r="16" spans="1:13" ht="15.75" customHeight="1">
      <c r="A16" s="46" t="s">
        <v>589</v>
      </c>
      <c r="B16" s="147" t="str">
        <f>HYPERLINK("http://codeforces.com/contest/371/problem/C","CF371-D2-C")</f>
        <v>CF371-D2-C</v>
      </c>
      <c r="C16" s="67"/>
      <c r="D16" s="67"/>
      <c r="E16" s="67"/>
      <c r="F16" s="67"/>
      <c r="G16" s="67"/>
      <c r="H16" s="67"/>
      <c r="I16" s="36">
        <f t="shared" si="0"/>
        <v>0</v>
      </c>
      <c r="J16" s="36"/>
      <c r="K16" s="36"/>
      <c r="L16" s="67"/>
      <c r="M16" s="56"/>
    </row>
    <row r="17" spans="1:13" ht="15.75" customHeight="1">
      <c r="A17" s="46" t="s">
        <v>747</v>
      </c>
      <c r="B17" s="147" t="str">
        <f>HYPERLINK("http://codeforces.com/contest/621/problem/C","CF621-D2-C")</f>
        <v>CF621-D2-C</v>
      </c>
      <c r="C17" s="67"/>
      <c r="D17" s="67"/>
      <c r="E17" s="67"/>
      <c r="F17" s="67"/>
      <c r="G17" s="67"/>
      <c r="H17" s="67"/>
      <c r="I17" s="36">
        <f t="shared" si="0"/>
        <v>0</v>
      </c>
      <c r="J17" s="36"/>
      <c r="K17" s="36"/>
      <c r="L17" s="67"/>
      <c r="M17" s="56"/>
    </row>
    <row r="18" spans="1:13" ht="15.75" customHeight="1">
      <c r="A18" s="46" t="s">
        <v>748</v>
      </c>
      <c r="B18" s="147" t="str">
        <f>HYPERLINK("http://codeforces.com/contest/451/problem/C","CF451-D2-C")</f>
        <v>CF451-D2-C</v>
      </c>
      <c r="C18" s="67"/>
      <c r="D18" s="67"/>
      <c r="E18" s="67"/>
      <c r="F18" s="67"/>
      <c r="G18" s="67"/>
      <c r="H18" s="67"/>
      <c r="I18" s="36">
        <f t="shared" si="0"/>
        <v>0</v>
      </c>
      <c r="J18" s="36"/>
      <c r="K18" s="36"/>
      <c r="L18" s="67"/>
    </row>
    <row r="19" spans="1:13" ht="15.75" customHeight="1">
      <c r="A19" s="46" t="s">
        <v>749</v>
      </c>
      <c r="B19" s="169" t="str">
        <f>HYPERLINK("http://codeforces.com/contest/260/problem/C","CF260-D2-C")</f>
        <v>CF260-D2-C</v>
      </c>
      <c r="C19" s="67"/>
      <c r="D19" s="67"/>
      <c r="E19" s="67"/>
      <c r="F19" s="67"/>
      <c r="G19" s="67"/>
      <c r="H19" s="67"/>
      <c r="I19" s="36">
        <f t="shared" si="0"/>
        <v>0</v>
      </c>
      <c r="J19" s="36"/>
      <c r="K19" s="36"/>
      <c r="L19" s="56"/>
      <c r="M19" s="59" t="str">
        <f>HYPERLINK("https://www.youtube.com/watch?v=W3Zp3yqNsOs","Video Solution - Dr Mostafa Saad")</f>
        <v>Video Solution - Dr Mostafa Saad</v>
      </c>
    </row>
    <row r="20" spans="1:13" ht="15.75" customHeight="1">
      <c r="A20" s="46" t="s">
        <v>750</v>
      </c>
      <c r="B20" s="169" t="str">
        <f>HYPERLINK("http://codeforces.com/contest/347/problem/C","CF347-D2-C")</f>
        <v>CF347-D2-C</v>
      </c>
      <c r="C20" s="67"/>
      <c r="D20" s="67"/>
      <c r="E20" s="67"/>
      <c r="F20" s="67"/>
      <c r="G20" s="67"/>
      <c r="H20" s="67"/>
      <c r="I20" s="36">
        <f t="shared" si="0"/>
        <v>0</v>
      </c>
      <c r="J20" s="36"/>
      <c r="K20" s="36"/>
      <c r="L20" s="10"/>
      <c r="M20" s="95" t="str">
        <f>HYPERLINK("https://www.youtube.com/watch?v=CfBk2dwfLaE","Video Solution - Eng Mohamed Nasser")</f>
        <v>Video Solution - Eng Mohamed Nasser</v>
      </c>
    </row>
    <row r="21" spans="1:13" ht="15.75" customHeight="1">
      <c r="A21" s="46" t="s">
        <v>751</v>
      </c>
      <c r="B21" s="52" t="str">
        <f>HYPERLINK("http://codeforces.com/contest/959/problem/C","CF959-D2-C")</f>
        <v>CF959-D2-C</v>
      </c>
      <c r="C21" s="67"/>
      <c r="D21" s="67"/>
      <c r="E21" s="67"/>
      <c r="F21" s="67"/>
      <c r="G21" s="67"/>
      <c r="H21" s="67"/>
      <c r="I21" s="36">
        <f t="shared" si="0"/>
        <v>0</v>
      </c>
      <c r="J21" s="36"/>
      <c r="K21" s="36"/>
      <c r="L21" s="10"/>
      <c r="M21" s="95" t="str">
        <f>HYPERLINK("https://www.youtube.com/watch?v=bvDYHy9ESnY&amp;","Video Solution - Eng Mohamed Salah")</f>
        <v>Video Solution - Eng Mohamed Salah</v>
      </c>
    </row>
    <row r="22" spans="1:13" ht="15.75" customHeight="1">
      <c r="A22" s="46" t="s">
        <v>752</v>
      </c>
      <c r="B22" s="52" t="str">
        <f>HYPERLINK("https://codeforces.com/contest/1206/problem/C","CF1206-D2-C")</f>
        <v>CF1206-D2-C</v>
      </c>
      <c r="C22" s="67"/>
      <c r="D22" s="67"/>
      <c r="E22" s="67"/>
      <c r="F22" s="67"/>
      <c r="G22" s="67"/>
      <c r="H22" s="67"/>
      <c r="I22" s="36">
        <f t="shared" si="0"/>
        <v>0</v>
      </c>
      <c r="J22" s="36"/>
      <c r="K22" s="36"/>
      <c r="L22" s="10"/>
      <c r="M22" s="59" t="str">
        <f>HYPERLINK("https://www.youtube.com/watch?v=7D-8VO66OF8","Video Solution - Dr Mostafa Saad")</f>
        <v>Video Solution - Dr Mostafa Saad</v>
      </c>
    </row>
    <row r="23" spans="1:13" ht="15.75" customHeight="1">
      <c r="A23" s="46"/>
      <c r="B23" s="99" t="str">
        <f>HYPERLINK("https://codeforces.com/contest/1220/problem/C","CF1220-D12-C")</f>
        <v>CF1220-D12-C</v>
      </c>
      <c r="C23" s="67"/>
      <c r="D23" s="67"/>
      <c r="E23" s="67"/>
      <c r="F23" s="67"/>
      <c r="G23" s="67"/>
      <c r="H23" s="67"/>
      <c r="I23" s="36">
        <f t="shared" si="0"/>
        <v>0</v>
      </c>
      <c r="J23" s="36"/>
      <c r="K23" s="36"/>
      <c r="L23" s="10"/>
      <c r="M23" s="10"/>
    </row>
    <row r="24" spans="1:13" ht="15.75" customHeight="1">
      <c r="A24" s="46"/>
      <c r="B24" s="52" t="str">
        <f>HYPERLINK("http://codeforces.com/contest/1065/problem/C","CF1065-D2-C")</f>
        <v>CF1065-D2-C</v>
      </c>
      <c r="C24" s="67"/>
      <c r="D24" s="67"/>
      <c r="E24" s="67"/>
      <c r="F24" s="67"/>
      <c r="G24" s="67"/>
      <c r="H24" s="67"/>
      <c r="I24" s="36">
        <f t="shared" si="0"/>
        <v>0</v>
      </c>
      <c r="J24" s="36"/>
      <c r="K24" s="36"/>
      <c r="L24" s="10"/>
      <c r="M24" s="10"/>
    </row>
    <row r="25" spans="1:13" ht="15.75" customHeight="1">
      <c r="A25" s="46"/>
      <c r="B25" s="52" t="str">
        <f>HYPERLINK("http://codeforces.com/contest/1036/problem/C","CF1036-D2-C")</f>
        <v>CF1036-D2-C</v>
      </c>
      <c r="C25" s="67"/>
      <c r="D25" s="67"/>
      <c r="E25" s="67"/>
      <c r="F25" s="67"/>
      <c r="G25" s="67"/>
      <c r="H25" s="67"/>
      <c r="I25" s="36">
        <f t="shared" si="0"/>
        <v>0</v>
      </c>
      <c r="J25" s="36"/>
      <c r="K25" s="36"/>
      <c r="L25" s="10"/>
      <c r="M25" s="10"/>
    </row>
    <row r="26" spans="1:13" ht="15.75" customHeight="1">
      <c r="A26" s="46"/>
      <c r="B26" s="52" t="str">
        <f>HYPERLINK("https://codeforces.com/contest/1068/problem/C","CF1068-D2-C")</f>
        <v>CF1068-D2-C</v>
      </c>
      <c r="C26" s="67"/>
      <c r="D26" s="67"/>
      <c r="E26" s="67"/>
      <c r="F26" s="67"/>
      <c r="G26" s="67"/>
      <c r="H26" s="67"/>
      <c r="I26" s="36">
        <f t="shared" si="0"/>
        <v>0</v>
      </c>
      <c r="J26" s="36"/>
      <c r="K26" s="36"/>
      <c r="L26" s="10"/>
      <c r="M26" s="10"/>
    </row>
    <row r="27" spans="1:13" ht="15.75" customHeight="1">
      <c r="A27" s="46"/>
      <c r="B27" s="87" t="str">
        <f>HYPERLINK("http://codeforces.com/contest/313/problem/C","CF313-D2-C")</f>
        <v>CF313-D2-C</v>
      </c>
      <c r="C27" s="67"/>
      <c r="D27" s="67"/>
      <c r="E27" s="67"/>
      <c r="F27" s="67"/>
      <c r="G27" s="67"/>
      <c r="H27" s="67"/>
      <c r="I27" s="36">
        <f t="shared" si="0"/>
        <v>0</v>
      </c>
      <c r="J27" s="36"/>
      <c r="K27" s="36"/>
      <c r="L27" s="10"/>
      <c r="M27" s="10"/>
    </row>
    <row r="28" spans="1:13" ht="15.75" customHeight="1">
      <c r="A28" s="150" t="s">
        <v>753</v>
      </c>
      <c r="B28" s="175" t="str">
        <f>HYPERLINK("http://codeforces.com/contest/430/problem/B","CF430-D2-B")</f>
        <v>CF430-D2-B</v>
      </c>
      <c r="C28" s="67"/>
      <c r="D28" s="67"/>
      <c r="E28" s="67"/>
      <c r="F28" s="67"/>
      <c r="G28" s="67"/>
      <c r="H28" s="67"/>
      <c r="I28" s="36">
        <f t="shared" si="0"/>
        <v>0</v>
      </c>
      <c r="J28" s="36"/>
      <c r="K28" s="36"/>
      <c r="L28" s="10"/>
      <c r="M28" s="10"/>
    </row>
    <row r="29" spans="1:13" ht="15.75" customHeight="1">
      <c r="A29" s="150" t="s">
        <v>754</v>
      </c>
      <c r="B29" s="175" t="str">
        <f>HYPERLINK("http://codeforces.com/contest/84/problem/B","CF84-D2-B")</f>
        <v>CF84-D2-B</v>
      </c>
      <c r="C29" s="67"/>
      <c r="D29" s="67"/>
      <c r="E29" s="67"/>
      <c r="F29" s="67"/>
      <c r="G29" s="67"/>
      <c r="H29" s="67"/>
      <c r="I29" s="36">
        <f t="shared" si="0"/>
        <v>0</v>
      </c>
      <c r="J29" s="36"/>
      <c r="K29" s="36"/>
      <c r="L29" s="10"/>
      <c r="M29" s="10"/>
    </row>
    <row r="30" spans="1:13" ht="15.75" customHeight="1">
      <c r="A30" s="56"/>
      <c r="B30" s="56"/>
      <c r="C30" s="67"/>
      <c r="D30" s="67"/>
      <c r="E30" s="67"/>
      <c r="F30" s="67"/>
      <c r="G30" s="67"/>
      <c r="H30" s="67"/>
      <c r="I30" s="36">
        <f t="shared" si="0"/>
        <v>0</v>
      </c>
      <c r="J30" s="36"/>
      <c r="K30" s="36"/>
      <c r="L30" s="67"/>
      <c r="M30" s="110" t="str">
        <f>HYPERLINK("https://www.youtube.com/watch?v=fT4JZU5hO58","Watch - Thinking - Misc - Solution Verification - Implementation")</f>
        <v>Watch - Thinking - Misc - Solution Verification - Implementation</v>
      </c>
    </row>
    <row r="31" spans="1:13" ht="15.75" customHeight="1">
      <c r="A31" s="56"/>
      <c r="B31" s="56"/>
      <c r="C31" s="67"/>
      <c r="D31" s="67"/>
      <c r="E31" s="67"/>
      <c r="F31" s="67"/>
      <c r="G31" s="67"/>
      <c r="H31" s="67"/>
      <c r="I31" s="36">
        <f t="shared" si="0"/>
        <v>0</v>
      </c>
      <c r="J31" s="36"/>
      <c r="K31" s="36"/>
      <c r="L31" s="67"/>
      <c r="M31" s="114" t="str">
        <f>HYPERLINK("https://www.youtube.com/watch?v=6GzxGabB5MI","Watch - Graph Theory - Dijkstra")</f>
        <v>Watch - Graph Theory - Dijkstra</v>
      </c>
    </row>
    <row r="32" spans="1:13" ht="15.75" customHeight="1">
      <c r="A32" s="74" t="s">
        <v>755</v>
      </c>
      <c r="B32" s="152" t="str">
        <f>HYPERLINK("https://uva.onlinejudge.org/index.php?option=com_onlinejudge&amp;Itemid=8&amp;page=show_problem&amp;problem=512","UVA 571")</f>
        <v>UVA 571</v>
      </c>
      <c r="C32" s="67"/>
      <c r="D32" s="67"/>
      <c r="E32" s="67"/>
      <c r="F32" s="67"/>
      <c r="G32" s="67"/>
      <c r="H32" s="67"/>
      <c r="I32" s="36">
        <f t="shared" si="0"/>
        <v>0</v>
      </c>
      <c r="J32" s="36"/>
      <c r="K32" s="36"/>
      <c r="L32" s="10"/>
      <c r="M32" s="162" t="str">
        <f>HYPERLINK("https://www.youtube.com/watch?v=y0J3Jznp3kE","Video Solution - Dr Mostafa Saad")</f>
        <v>Video Solution - Dr Mostafa Saad</v>
      </c>
    </row>
    <row r="33" spans="1:13" ht="15.75" customHeight="1">
      <c r="A33" s="74" t="s">
        <v>756</v>
      </c>
      <c r="B33" s="158" t="str">
        <f>HYPERLINK("https://uva.onlinejudge.org/index.php?option=com_onlinejudge&amp;Itemid=8&amp;page=show_problem&amp;problem=1927","UVA 10986")</f>
        <v>UVA 10986</v>
      </c>
      <c r="C33" s="67"/>
      <c r="D33" s="67"/>
      <c r="E33" s="67"/>
      <c r="F33" s="67"/>
      <c r="G33" s="67"/>
      <c r="H33" s="67"/>
      <c r="I33" s="36">
        <f t="shared" si="0"/>
        <v>0</v>
      </c>
      <c r="J33" s="36"/>
      <c r="K33" s="36"/>
      <c r="L33" s="67"/>
      <c r="M33" s="56"/>
    </row>
    <row r="34" spans="1:13" ht="15.75" customHeight="1">
      <c r="A34" s="74" t="s">
        <v>757</v>
      </c>
      <c r="B34" s="158" t="str">
        <f>HYPERLINK("https://uva.onlinejudge.org/index.php?option=onlinejudge&amp;page=show_problem&amp;problem=1742","UVA 10801")</f>
        <v>UVA 10801</v>
      </c>
      <c r="C34" s="67"/>
      <c r="D34" s="67"/>
      <c r="E34" s="67"/>
      <c r="F34" s="67"/>
      <c r="G34" s="67"/>
      <c r="H34" s="67"/>
      <c r="I34" s="36">
        <f t="shared" si="0"/>
        <v>0</v>
      </c>
      <c r="J34" s="36"/>
      <c r="K34" s="36"/>
      <c r="L34" s="67"/>
      <c r="M34" s="56"/>
    </row>
    <row r="35" spans="1:13" ht="15.75" customHeight="1">
      <c r="A35" s="74" t="s">
        <v>758</v>
      </c>
      <c r="B35" s="158" t="str">
        <f>HYPERLINK("http://www.spoj.com/problems/SHOP/","SPOJ SHOP")</f>
        <v>SPOJ SHOP</v>
      </c>
      <c r="C35" s="67"/>
      <c r="D35" s="67"/>
      <c r="E35" s="67"/>
      <c r="F35" s="67"/>
      <c r="G35" s="67"/>
      <c r="H35" s="67"/>
      <c r="I35" s="36">
        <f t="shared" si="0"/>
        <v>0</v>
      </c>
      <c r="J35" s="36"/>
      <c r="K35" s="36"/>
      <c r="L35" s="67"/>
      <c r="M35" s="56"/>
    </row>
    <row r="36" spans="1:13" ht="15.75" customHeight="1">
      <c r="A36" s="79" t="s">
        <v>759</v>
      </c>
      <c r="B36" s="164" t="str">
        <f>HYPERLINK("https://uva.onlinejudge.org/index.php?option=onlinejudge&amp;page=show_problem&amp;problem=813","UVA 872")</f>
        <v>UVA 872</v>
      </c>
      <c r="C36" s="67"/>
      <c r="D36" s="67"/>
      <c r="E36" s="67"/>
      <c r="F36" s="67"/>
      <c r="G36" s="67"/>
      <c r="H36" s="67"/>
      <c r="I36" s="36">
        <f t="shared" si="0"/>
        <v>0</v>
      </c>
      <c r="J36" s="10"/>
      <c r="K36" s="10"/>
      <c r="L36" s="10"/>
      <c r="M36" s="134" t="s">
        <v>632</v>
      </c>
    </row>
    <row r="37" spans="1:13" ht="15.75" customHeight="1">
      <c r="A37" s="79"/>
      <c r="B37" s="164" t="str">
        <f>HYPERLINK("https://codeforces.com/contest/1064/problem/C","CF1064-D2-C")</f>
        <v>CF1064-D2-C</v>
      </c>
      <c r="C37" s="67"/>
      <c r="D37" s="67"/>
      <c r="E37" s="67"/>
      <c r="F37" s="67"/>
      <c r="G37" s="67"/>
      <c r="H37" s="67"/>
      <c r="I37" s="36">
        <f t="shared" si="0"/>
        <v>0</v>
      </c>
      <c r="J37" s="10"/>
      <c r="K37" s="10"/>
      <c r="L37" s="10"/>
      <c r="M37" s="10"/>
    </row>
    <row r="38" spans="1:13" ht="15.75" customHeight="1">
      <c r="A38" s="79"/>
      <c r="B38" s="164" t="str">
        <f>HYPERLINK("https://codeforces.com/contest/1059/problem/C","CF1059-D2-C")</f>
        <v>CF1059-D2-C</v>
      </c>
      <c r="C38" s="67"/>
      <c r="D38" s="67"/>
      <c r="E38" s="67"/>
      <c r="F38" s="67"/>
      <c r="G38" s="67"/>
      <c r="H38" s="67"/>
      <c r="I38" s="36">
        <f t="shared" si="0"/>
        <v>0</v>
      </c>
      <c r="J38" s="10"/>
      <c r="K38" s="10"/>
      <c r="L38" s="10"/>
      <c r="M38" s="10"/>
    </row>
    <row r="39" spans="1:13" ht="15.75" customHeight="1">
      <c r="A39" s="79"/>
      <c r="B39" s="164" t="str">
        <f>HYPERLINK("https://codeforces.com/gym/101933/problem/K","CF101933-GYM-K")</f>
        <v>CF101933-GYM-K</v>
      </c>
      <c r="C39" s="67"/>
      <c r="D39" s="67"/>
      <c r="E39" s="67"/>
      <c r="F39" s="67"/>
      <c r="G39" s="67"/>
      <c r="H39" s="67"/>
      <c r="I39" s="36">
        <f t="shared" si="0"/>
        <v>0</v>
      </c>
      <c r="J39" s="10"/>
      <c r="K39" s="10"/>
      <c r="L39" s="10"/>
      <c r="M39" s="176" t="str">
        <f>HYPERLINK("https://github.com/pranavjangir/CompetitiveProgramming/blob/master/CodeForces/CF101933-GYM-K.cpp","Sol")</f>
        <v>Sol</v>
      </c>
    </row>
    <row r="40" spans="1:13" ht="12.5">
      <c r="A40" s="79" t="s">
        <v>760</v>
      </c>
      <c r="B40" s="155" t="str">
        <f>HYPERLINK("http://codeforces.com/contest/816/problem/B","CF816-D2-B")</f>
        <v>CF816-D2-B</v>
      </c>
      <c r="C40" s="10"/>
      <c r="D40" s="10"/>
      <c r="E40" s="10"/>
      <c r="F40" s="10"/>
      <c r="G40" s="10"/>
      <c r="H40" s="10"/>
      <c r="I40" s="67">
        <f t="shared" si="0"/>
        <v>0</v>
      </c>
      <c r="J40" s="10"/>
      <c r="K40" s="10"/>
      <c r="L40" s="10"/>
      <c r="M40" s="59" t="str">
        <f>HYPERLINK("https://www.youtube.com/watch?v=S0nKXwwWG8Y","Video Solution - Dr Mostafa Saad")</f>
        <v>Video Solution - Dr Mostafa Saad</v>
      </c>
    </row>
    <row r="41" spans="1:13" ht="12.5">
      <c r="A41" s="56"/>
      <c r="B41" s="56"/>
      <c r="C41" s="67"/>
      <c r="D41" s="67"/>
      <c r="E41" s="67"/>
      <c r="F41" s="67"/>
      <c r="G41" s="67"/>
      <c r="H41" s="67"/>
      <c r="I41" s="36">
        <f t="shared" si="0"/>
        <v>0</v>
      </c>
      <c r="J41" s="36"/>
      <c r="K41" s="36"/>
      <c r="L41" s="67"/>
      <c r="M41" s="56"/>
    </row>
    <row r="42" spans="1:13" ht="12.5">
      <c r="A42" s="46" t="s">
        <v>761</v>
      </c>
      <c r="B42" s="147" t="str">
        <f>HYPERLINK("http://codeforces.com/contest/63/problem/C","CF63-D2-C")</f>
        <v>CF63-D2-C</v>
      </c>
      <c r="C42" s="67"/>
      <c r="D42" s="67"/>
      <c r="E42" s="67"/>
      <c r="F42" s="67"/>
      <c r="G42" s="67"/>
      <c r="H42" s="67"/>
      <c r="I42" s="36">
        <f t="shared" si="0"/>
        <v>0</v>
      </c>
      <c r="J42" s="36"/>
      <c r="K42" s="36"/>
      <c r="L42" s="67"/>
      <c r="M42" s="147" t="str">
        <f>HYPERLINK("https://github.com/ilyesG/Competitive-Programming/blob/master/CodeForces/CF63-D2-C.cpp","Sol")</f>
        <v>Sol</v>
      </c>
    </row>
    <row r="43" spans="1:13" ht="12.5">
      <c r="A43" s="46" t="s">
        <v>762</v>
      </c>
      <c r="B43" s="147" t="str">
        <f>HYPERLINK("http://codeforces.com/contest/430/problem/C","CF430-D2-C")</f>
        <v>CF430-D2-C</v>
      </c>
      <c r="C43" s="67"/>
      <c r="D43" s="67"/>
      <c r="E43" s="67"/>
      <c r="F43" s="67"/>
      <c r="G43" s="67"/>
      <c r="H43" s="67"/>
      <c r="I43" s="36">
        <f t="shared" si="0"/>
        <v>0</v>
      </c>
      <c r="J43" s="36"/>
      <c r="K43" s="36"/>
      <c r="L43" s="67"/>
      <c r="M43" s="56"/>
    </row>
    <row r="44" spans="1:13" ht="12.5">
      <c r="A44" s="46" t="s">
        <v>763</v>
      </c>
      <c r="B44" s="147" t="str">
        <f>HYPERLINK("http://codeforces.com/contest/591/problem/C","CF591-D2-C")</f>
        <v>CF591-D2-C</v>
      </c>
      <c r="C44" s="67"/>
      <c r="D44" s="67"/>
      <c r="E44" s="67"/>
      <c r="F44" s="67"/>
      <c r="G44" s="67"/>
      <c r="H44" s="67"/>
      <c r="I44" s="36">
        <f t="shared" si="0"/>
        <v>0</v>
      </c>
      <c r="J44" s="36"/>
      <c r="K44" s="36"/>
      <c r="L44" s="67"/>
      <c r="M44" s="56"/>
    </row>
    <row r="45" spans="1:13" ht="12.5">
      <c r="A45" s="46" t="s">
        <v>764</v>
      </c>
      <c r="B45" s="147" t="str">
        <f>HYPERLINK("http://codeforces.com/contest/711/problem/C","CF711-D2-C")</f>
        <v>CF711-D2-C</v>
      </c>
      <c r="C45" s="67"/>
      <c r="D45" s="67"/>
      <c r="E45" s="67"/>
      <c r="F45" s="67"/>
      <c r="G45" s="67"/>
      <c r="H45" s="67"/>
      <c r="I45" s="36">
        <f t="shared" si="0"/>
        <v>0</v>
      </c>
      <c r="J45" s="36"/>
      <c r="K45" s="36"/>
      <c r="L45" s="67"/>
      <c r="M45" s="59" t="str">
        <f>HYPERLINK("https://www.youtube.com/watch?v=aYERNlE7KLU","Video Solution - Solver to be")</f>
        <v>Video Solution - Solver to be</v>
      </c>
    </row>
    <row r="46" spans="1:13" ht="12.5">
      <c r="A46" s="56" t="s">
        <v>765</v>
      </c>
      <c r="B46" s="87" t="str">
        <f>HYPERLINK("http://codeforces.com/contest/202/problem/C","CF202-D2-C")</f>
        <v>CF202-D2-C</v>
      </c>
      <c r="C46" s="67"/>
      <c r="D46" s="67"/>
      <c r="E46" s="67"/>
      <c r="F46" s="67"/>
      <c r="G46" s="67"/>
      <c r="H46" s="67"/>
      <c r="I46" s="36">
        <f t="shared" si="0"/>
        <v>0</v>
      </c>
      <c r="J46" s="36"/>
      <c r="K46" s="36"/>
      <c r="L46" s="10"/>
      <c r="M46" s="10"/>
    </row>
    <row r="47" spans="1:13" ht="12.5">
      <c r="A47" s="56"/>
      <c r="B47" s="99" t="str">
        <f>HYPERLINK("https://codeforces.com/contest/1237/problem/C2","CF1237-D12-C2")</f>
        <v>CF1237-D12-C2</v>
      </c>
      <c r="C47" s="67"/>
      <c r="D47" s="67"/>
      <c r="E47" s="67"/>
      <c r="F47" s="67"/>
      <c r="G47" s="67"/>
      <c r="H47" s="67"/>
      <c r="I47" s="36">
        <f t="shared" si="0"/>
        <v>0</v>
      </c>
      <c r="J47" s="36"/>
      <c r="K47" s="36"/>
      <c r="L47" s="10"/>
      <c r="M47" s="10"/>
    </row>
    <row r="48" spans="1:13" ht="12.5">
      <c r="A48" s="150" t="s">
        <v>766</v>
      </c>
      <c r="B48" s="25" t="str">
        <f>HYPERLINK("http://codeforces.com/contest/426/problem/B","CF426-D2-B")</f>
        <v>CF426-D2-B</v>
      </c>
      <c r="C48" s="67"/>
      <c r="D48" s="67"/>
      <c r="E48" s="67"/>
      <c r="F48" s="67"/>
      <c r="G48" s="67"/>
      <c r="H48" s="67"/>
      <c r="I48" s="36">
        <f t="shared" si="0"/>
        <v>0</v>
      </c>
      <c r="J48" s="36"/>
      <c r="K48" s="36"/>
      <c r="L48" s="67"/>
      <c r="M48" s="56"/>
    </row>
    <row r="49" spans="1:13" ht="12.5">
      <c r="A49" s="150" t="s">
        <v>767</v>
      </c>
      <c r="B49" s="25" t="str">
        <f>HYPERLINK("http://codeforces.com/contest/675/problem/B","CF675-D2-B")</f>
        <v>CF675-D2-B</v>
      </c>
      <c r="C49" s="67"/>
      <c r="D49" s="67"/>
      <c r="E49" s="67"/>
      <c r="F49" s="67"/>
      <c r="G49" s="67"/>
      <c r="H49" s="67"/>
      <c r="I49" s="36">
        <f t="shared" si="0"/>
        <v>0</v>
      </c>
      <c r="J49" s="36"/>
      <c r="K49" s="36"/>
      <c r="L49" s="67"/>
      <c r="M49" s="56"/>
    </row>
    <row r="50" spans="1:13" ht="13">
      <c r="A50" s="56"/>
      <c r="B50" s="56"/>
      <c r="C50" s="67"/>
      <c r="D50" s="67"/>
      <c r="E50" s="67"/>
      <c r="F50" s="67"/>
      <c r="G50" s="67"/>
      <c r="H50" s="67"/>
      <c r="I50" s="36"/>
      <c r="J50" s="36"/>
      <c r="K50" s="36"/>
      <c r="L50" s="67"/>
      <c r="M50" s="113"/>
    </row>
    <row r="51" spans="1:13" ht="13">
      <c r="A51" s="56"/>
      <c r="B51" s="56"/>
      <c r="C51" s="67"/>
      <c r="D51" s="67"/>
      <c r="E51" s="67"/>
      <c r="F51" s="67"/>
      <c r="G51" s="67"/>
      <c r="H51" s="67"/>
      <c r="I51" s="36">
        <f t="shared" ref="I51:I154" si="1">SUM(E51:H51)</f>
        <v>0</v>
      </c>
      <c r="J51" s="36"/>
      <c r="K51" s="36"/>
      <c r="L51" s="67"/>
      <c r="M51" s="113" t="str">
        <f>HYPERLINK("https://www.youtube.com/watch?v=k5fDfC9vfWM","Watch - Computational Geometry - Lines Intersections")</f>
        <v>Watch - Computational Geometry - Lines Intersections</v>
      </c>
    </row>
    <row r="52" spans="1:13" ht="12.5">
      <c r="A52" s="74" t="s">
        <v>768</v>
      </c>
      <c r="B52" s="158" t="str">
        <f>HYPERLINK("https://uva.onlinejudge.org/index.php?option=onlinejudge&amp;page=show_problem&amp;problem=678","UVA 737")</f>
        <v>UVA 737</v>
      </c>
      <c r="C52" s="67"/>
      <c r="D52" s="67"/>
      <c r="E52" s="67"/>
      <c r="F52" s="67"/>
      <c r="G52" s="67"/>
      <c r="H52" s="67"/>
      <c r="I52" s="36">
        <f t="shared" si="1"/>
        <v>0</v>
      </c>
      <c r="J52" s="36"/>
      <c r="K52" s="36"/>
      <c r="L52" s="67"/>
      <c r="M52" s="147" t="str">
        <f>HYPERLINK("https://github.com/mostafa-saad/MyCompetitiveProgramming/blob/master/UVA/UVA_737.txt","Sol")</f>
        <v>Sol</v>
      </c>
    </row>
    <row r="53" spans="1:13" ht="12.5">
      <c r="A53" s="74" t="s">
        <v>769</v>
      </c>
      <c r="B53" s="158" t="str">
        <f>HYPERLINK("https://uva.onlinejudge.org/index.php?option=com_onlinejudge&amp;Itemid=8&amp;page=show_problem&amp;problem=807","UVA 866")</f>
        <v>UVA 866</v>
      </c>
      <c r="C53" s="67"/>
      <c r="D53" s="67"/>
      <c r="E53" s="67"/>
      <c r="F53" s="67"/>
      <c r="G53" s="67"/>
      <c r="H53" s="67"/>
      <c r="I53" s="36">
        <f t="shared" si="1"/>
        <v>0</v>
      </c>
      <c r="J53" s="36"/>
      <c r="K53" s="36"/>
      <c r="L53" s="67"/>
      <c r="M53" s="147" t="str">
        <f>HYPERLINK("https://github.com/MeGaCrazy/CompetitiveProgramming/blob/master/UVA/UVA_866.cpp","Sol")</f>
        <v>Sol</v>
      </c>
    </row>
    <row r="54" spans="1:13" ht="13">
      <c r="A54" s="56"/>
      <c r="B54" s="56"/>
      <c r="C54" s="67"/>
      <c r="D54" s="67"/>
      <c r="E54" s="67"/>
      <c r="F54" s="67"/>
      <c r="G54" s="67"/>
      <c r="H54" s="67"/>
      <c r="I54" s="36">
        <f t="shared" si="1"/>
        <v>0</v>
      </c>
      <c r="J54" s="36"/>
      <c r="K54" s="36"/>
      <c r="L54" s="67"/>
      <c r="M54" s="113" t="str">
        <f>HYPERLINK("https://www.youtube.com/watch?v=Fa69kqT9NPY","Watch - Computational Geometry - Circles")</f>
        <v>Watch - Computational Geometry - Circles</v>
      </c>
    </row>
    <row r="55" spans="1:13" ht="12.5">
      <c r="A55" s="74" t="s">
        <v>770</v>
      </c>
      <c r="B55" s="158" t="str">
        <f>HYPERLINK("https://uva.onlinejudge.org/index.php?option=onlinejudge&amp;page=show_problem&amp;problem=379","UVA 438")</f>
        <v>UVA 438</v>
      </c>
      <c r="C55" s="67"/>
      <c r="D55" s="67"/>
      <c r="E55" s="67"/>
      <c r="F55" s="67"/>
      <c r="G55" s="67"/>
      <c r="H55" s="67"/>
      <c r="I55" s="36">
        <f t="shared" si="1"/>
        <v>0</v>
      </c>
      <c r="J55" s="36"/>
      <c r="K55" s="36"/>
      <c r="L55" s="67"/>
      <c r="M55" s="147" t="str">
        <f>HYPERLINK("https://github.com/hosamk92/CompetitiveProgramming/blob/master/UVA/UVA%20438.cpp","Sol")</f>
        <v>Sol</v>
      </c>
    </row>
    <row r="56" spans="1:13" ht="12.5">
      <c r="A56" s="74" t="s">
        <v>771</v>
      </c>
      <c r="B56" s="158" t="str">
        <f>HYPERLINK("https://uva.onlinejudge.org/index.php?option=com_onlinejudge&amp;Itemid=8&amp;page=show_problem&amp;problem=418","UVA 477")</f>
        <v>UVA 477</v>
      </c>
      <c r="C56" s="67"/>
      <c r="D56" s="67"/>
      <c r="E56" s="67"/>
      <c r="F56" s="67"/>
      <c r="G56" s="67"/>
      <c r="H56" s="67"/>
      <c r="I56" s="36">
        <f t="shared" si="1"/>
        <v>0</v>
      </c>
      <c r="J56" s="36"/>
      <c r="K56" s="36"/>
      <c r="L56" s="67"/>
      <c r="M56" s="147" t="str">
        <f>HYPERLINK("https://github.com/MeGaCrazy/CompetitiveProgramming/blob/5343b4e1aabd67db25a4864de4eb81eb094709e3/UVA/UVA_477.cpp","Sol")</f>
        <v>Sol</v>
      </c>
    </row>
    <row r="57" spans="1:13" ht="12.5">
      <c r="A57" s="74" t="s">
        <v>772</v>
      </c>
      <c r="B57" s="158" t="str">
        <f>HYPERLINK("https://uva.onlinejudge.org/index.php?option=onlinejudge&amp;page=show_problem&amp;problem=292","UVA 356")</f>
        <v>UVA 356</v>
      </c>
      <c r="C57" s="67"/>
      <c r="D57" s="67"/>
      <c r="E57" s="67"/>
      <c r="F57" s="67"/>
      <c r="G57" s="67"/>
      <c r="H57" s="67"/>
      <c r="I57" s="36">
        <f t="shared" si="1"/>
        <v>0</v>
      </c>
      <c r="J57" s="36"/>
      <c r="K57" s="36"/>
      <c r="L57" s="67"/>
      <c r="M57" s="59" t="str">
        <f>HYPERLINK("https://github.com/AymanSalah96/CompetitiveProgramming/blob/master/UVA/356.cpp","Sol to read")</f>
        <v>Sol to read</v>
      </c>
    </row>
    <row r="58" spans="1:13" ht="12.5">
      <c r="A58" s="74"/>
      <c r="B58" s="177" t="s">
        <v>773</v>
      </c>
      <c r="C58" s="67"/>
      <c r="D58" s="67"/>
      <c r="E58" s="67"/>
      <c r="F58" s="67"/>
      <c r="G58" s="67"/>
      <c r="H58" s="67"/>
      <c r="I58" s="36">
        <f t="shared" si="1"/>
        <v>0</v>
      </c>
      <c r="J58" s="10"/>
      <c r="K58" s="10"/>
      <c r="L58" s="10"/>
      <c r="M58" s="70" t="str">
        <f>HYPERLINK("https://github.com/MeGaCrazy/CompetitiveProgramming/blob/c099628e643065a7bae09af22c4cbce1216e4db9/UVA/UVA_453.cpp","Learn Handling Precisions")</f>
        <v>Learn Handling Precisions</v>
      </c>
    </row>
    <row r="59" spans="1:13" ht="12.5">
      <c r="A59" s="79" t="s">
        <v>774</v>
      </c>
      <c r="B59" s="117" t="str">
        <f>HYPERLINK("https://uva.onlinejudge.org/index.php?option=onlinejudge&amp;page=show_problem&amp;problem=1425","UVA 10484")</f>
        <v>UVA 10484</v>
      </c>
      <c r="C59" s="67"/>
      <c r="D59" s="67"/>
      <c r="E59" s="67"/>
      <c r="F59" s="67"/>
      <c r="G59" s="67"/>
      <c r="H59" s="67"/>
      <c r="I59" s="36">
        <f t="shared" si="1"/>
        <v>0</v>
      </c>
      <c r="J59" s="36"/>
      <c r="K59" s="36"/>
      <c r="L59" s="67"/>
      <c r="M59" s="59" t="str">
        <f>HYPERLINK("https://github.com/mostafa-saad/MyCompetitiveProgramming/blob/master/UVA/UVA_10484.txt","Sol to read")</f>
        <v>Sol to read</v>
      </c>
    </row>
    <row r="60" spans="1:13" ht="12.5">
      <c r="A60" s="79"/>
      <c r="B60" s="79" t="s">
        <v>775</v>
      </c>
      <c r="C60" s="67"/>
      <c r="D60" s="67"/>
      <c r="E60" s="67"/>
      <c r="F60" s="67"/>
      <c r="G60" s="67"/>
      <c r="H60" s="67"/>
      <c r="I60" s="36">
        <f t="shared" si="1"/>
        <v>0</v>
      </c>
      <c r="J60" s="36"/>
      <c r="K60" s="36"/>
      <c r="L60" s="67"/>
      <c r="M60" s="56"/>
    </row>
    <row r="61" spans="1:13" ht="12.5">
      <c r="A61" s="79"/>
      <c r="B61" s="117" t="str">
        <f>HYPERLINK("http://codeforces.com/contest/975/problem/C","CF975-D2-C")</f>
        <v>CF975-D2-C</v>
      </c>
      <c r="C61" s="67"/>
      <c r="D61" s="67"/>
      <c r="E61" s="67"/>
      <c r="F61" s="67"/>
      <c r="G61" s="67"/>
      <c r="H61" s="67"/>
      <c r="I61" s="36">
        <f t="shared" si="1"/>
        <v>0</v>
      </c>
      <c r="J61" s="36"/>
      <c r="K61" s="36"/>
      <c r="L61" s="67"/>
      <c r="M61" s="56"/>
    </row>
    <row r="62" spans="1:13" ht="12.5">
      <c r="A62" s="79"/>
      <c r="B62" s="117" t="str">
        <f>HYPERLINK("http://codeforces.com/contest/1047/problem/C","CF1047-D2-C")</f>
        <v>CF1047-D2-C</v>
      </c>
      <c r="C62" s="67"/>
      <c r="D62" s="67"/>
      <c r="E62" s="67"/>
      <c r="F62" s="67"/>
      <c r="G62" s="67"/>
      <c r="H62" s="67"/>
      <c r="I62" s="36">
        <f t="shared" si="1"/>
        <v>0</v>
      </c>
      <c r="J62" s="36"/>
      <c r="K62" s="36"/>
      <c r="L62" s="67"/>
      <c r="M62" s="56"/>
    </row>
    <row r="63" spans="1:13" ht="12.5">
      <c r="A63" s="79"/>
      <c r="B63" s="117" t="str">
        <f>HYPERLINK("http://codeforces.com/contest/1075/problem/C","CF1075-D2-C")</f>
        <v>CF1075-D2-C</v>
      </c>
      <c r="C63" s="67"/>
      <c r="D63" s="67"/>
      <c r="E63" s="67"/>
      <c r="F63" s="67"/>
      <c r="G63" s="67"/>
      <c r="H63" s="67"/>
      <c r="I63" s="36">
        <f t="shared" si="1"/>
        <v>0</v>
      </c>
      <c r="J63" s="36"/>
      <c r="K63" s="36"/>
      <c r="L63" s="67"/>
      <c r="M63" s="56"/>
    </row>
    <row r="64" spans="1:13" ht="12.5">
      <c r="A64" s="79"/>
      <c r="B64" s="117" t="str">
        <f>HYPERLINK("http://codeforces.com/contest/758/problem/C","CF758-D2-C")</f>
        <v>CF758-D2-C</v>
      </c>
      <c r="C64" s="67"/>
      <c r="D64" s="67"/>
      <c r="E64" s="67"/>
      <c r="F64" s="67"/>
      <c r="G64" s="67"/>
      <c r="H64" s="67"/>
      <c r="I64" s="36">
        <f t="shared" si="1"/>
        <v>0</v>
      </c>
      <c r="J64" s="36"/>
      <c r="K64" s="36"/>
      <c r="L64" s="67"/>
      <c r="M64" s="56"/>
    </row>
    <row r="65" spans="1:13" ht="12.5">
      <c r="A65" s="79"/>
      <c r="B65" s="149" t="s">
        <v>776</v>
      </c>
      <c r="C65" s="67"/>
      <c r="D65" s="67"/>
      <c r="E65" s="67"/>
      <c r="F65" s="67"/>
      <c r="G65" s="67"/>
      <c r="H65" s="67"/>
      <c r="I65" s="36">
        <f t="shared" si="1"/>
        <v>0</v>
      </c>
      <c r="J65" s="36"/>
      <c r="K65" s="36"/>
      <c r="L65" s="67"/>
      <c r="M65" s="178" t="str">
        <f>HYPERLINK("https://www.youtube.com/watch?v=MR5APvYis-o&amp;feature=youtu.be","Video Sol. Also solvable in 2 other ways.")</f>
        <v>Video Sol. Also solvable in 2 other ways.</v>
      </c>
    </row>
    <row r="66" spans="1:13" ht="12.5">
      <c r="A66" s="56"/>
      <c r="B66" s="56"/>
      <c r="C66" s="67"/>
      <c r="D66" s="67"/>
      <c r="E66" s="67"/>
      <c r="F66" s="67"/>
      <c r="G66" s="67"/>
      <c r="H66" s="67"/>
      <c r="I66" s="36">
        <f t="shared" si="1"/>
        <v>0</v>
      </c>
      <c r="J66" s="36"/>
      <c r="K66" s="36"/>
      <c r="L66" s="67"/>
      <c r="M66" s="56"/>
    </row>
    <row r="67" spans="1:13" ht="12.5">
      <c r="A67" s="56" t="s">
        <v>777</v>
      </c>
      <c r="B67" s="87" t="str">
        <f>HYPERLINK("http://codeforces.com/contest/124/problem/C","CF124-D2-C")</f>
        <v>CF124-D2-C</v>
      </c>
      <c r="C67" s="67"/>
      <c r="D67" s="67"/>
      <c r="E67" s="67"/>
      <c r="F67" s="67"/>
      <c r="G67" s="67"/>
      <c r="H67" s="67"/>
      <c r="I67" s="36">
        <f t="shared" si="1"/>
        <v>0</v>
      </c>
      <c r="J67" s="10"/>
      <c r="K67" s="10"/>
      <c r="L67" s="10"/>
      <c r="M67" s="10"/>
    </row>
    <row r="68" spans="1:13" ht="12.5">
      <c r="A68" s="56" t="s">
        <v>778</v>
      </c>
      <c r="B68" s="87" t="str">
        <f>HYPERLINK("http://codeforces.com/contest/155/problem/C","CF155-D2-C")</f>
        <v>CF155-D2-C</v>
      </c>
      <c r="C68" s="67"/>
      <c r="D68" s="67"/>
      <c r="E68" s="67"/>
      <c r="F68" s="67"/>
      <c r="G68" s="67"/>
      <c r="H68" s="67"/>
      <c r="I68" s="36">
        <f t="shared" si="1"/>
        <v>0</v>
      </c>
      <c r="J68" s="10"/>
      <c r="K68" s="10"/>
      <c r="L68" s="10"/>
      <c r="M68" s="10"/>
    </row>
    <row r="69" spans="1:13" ht="12.5">
      <c r="A69" s="46" t="s">
        <v>779</v>
      </c>
      <c r="B69" s="147" t="str">
        <f>HYPERLINK("http://codeforces.com/contest/148/problem/C","CF148-D2-C")</f>
        <v>CF148-D2-C</v>
      </c>
      <c r="C69" s="67"/>
      <c r="D69" s="67"/>
      <c r="E69" s="67"/>
      <c r="F69" s="67"/>
      <c r="G69" s="67"/>
      <c r="H69" s="67"/>
      <c r="I69" s="36">
        <f t="shared" si="1"/>
        <v>0</v>
      </c>
      <c r="J69" s="36"/>
      <c r="K69" s="36"/>
      <c r="L69" s="67"/>
      <c r="M69" s="95" t="str">
        <f>HYPERLINK("https://www.youtube.com/watch?v=BX2HhPefv6g","Video Solution - Eng Mohamed Nasser")</f>
        <v>Video Solution - Eng Mohamed Nasser</v>
      </c>
    </row>
    <row r="70" spans="1:13" ht="12.5">
      <c r="A70" s="46" t="s">
        <v>780</v>
      </c>
      <c r="B70" s="147" t="str">
        <f>HYPERLINK("http://codeforces.com/contest/490/problem/C","CF490-D2-C")</f>
        <v>CF490-D2-C</v>
      </c>
      <c r="C70" s="67"/>
      <c r="D70" s="67"/>
      <c r="E70" s="67"/>
      <c r="F70" s="67"/>
      <c r="G70" s="67"/>
      <c r="H70" s="67"/>
      <c r="I70" s="36">
        <f t="shared" si="1"/>
        <v>0</v>
      </c>
      <c r="J70" s="36"/>
      <c r="K70" s="36"/>
      <c r="L70" s="67"/>
      <c r="M70" s="56"/>
    </row>
    <row r="71" spans="1:13" ht="12.5">
      <c r="A71" s="46" t="s">
        <v>781</v>
      </c>
      <c r="B71" s="147" t="str">
        <f>HYPERLINK("http://codeforces.com/contest/476/problem/C","CF476-D2-C")</f>
        <v>CF476-D2-C</v>
      </c>
      <c r="C71" s="67"/>
      <c r="D71" s="67"/>
      <c r="E71" s="67"/>
      <c r="F71" s="67"/>
      <c r="G71" s="67"/>
      <c r="H71" s="67"/>
      <c r="I71" s="36">
        <f t="shared" si="1"/>
        <v>0</v>
      </c>
      <c r="J71" s="36"/>
      <c r="K71" s="36"/>
      <c r="L71" s="67"/>
      <c r="M71" s="59" t="str">
        <f>HYPERLINK("https://www.youtube.com/watch?v=KS9POnQMfmY","Video Solution - Dr Mostafa Saad")</f>
        <v>Video Solution - Dr Mostafa Saad</v>
      </c>
    </row>
    <row r="72" spans="1:13" ht="12.5">
      <c r="A72" s="46" t="s">
        <v>782</v>
      </c>
      <c r="B72" s="147" t="str">
        <f>HYPERLINK("http://codeforces.com/contest/195/problem/C","CF195-D2-C")</f>
        <v>CF195-D2-C</v>
      </c>
      <c r="C72" s="67"/>
      <c r="D72" s="67"/>
      <c r="E72" s="67"/>
      <c r="F72" s="67"/>
      <c r="G72" s="67"/>
      <c r="H72" s="67"/>
      <c r="I72" s="36">
        <f t="shared" si="1"/>
        <v>0</v>
      </c>
      <c r="J72" s="36"/>
      <c r="K72" s="36"/>
      <c r="L72" s="67"/>
      <c r="M72" s="59" t="str">
        <f>HYPERLINK("https://github.com/mostafa-saad/MyCompetitiveProgramming/blob/master/Codeforces/CF195-D2-C-Ahmed%20Osama.pdf","Editorial - Eng Ahmed Osama")</f>
        <v>Editorial - Eng Ahmed Osama</v>
      </c>
    </row>
    <row r="73" spans="1:13" ht="12.5">
      <c r="A73" s="56" t="s">
        <v>783</v>
      </c>
      <c r="B73" s="87" t="str">
        <f>HYPERLINK("http://codeforces.com/contest/569/problem/C","CF569-D2-C")</f>
        <v>CF569-D2-C</v>
      </c>
      <c r="C73" s="67"/>
      <c r="D73" s="67"/>
      <c r="E73" s="67"/>
      <c r="F73" s="67"/>
      <c r="G73" s="67"/>
      <c r="H73" s="67"/>
      <c r="I73" s="36">
        <f t="shared" si="1"/>
        <v>0</v>
      </c>
      <c r="J73" s="36"/>
      <c r="K73" s="36"/>
      <c r="L73" s="10"/>
      <c r="M73" s="10"/>
    </row>
    <row r="74" spans="1:13" ht="12.5">
      <c r="A74" s="46" t="s">
        <v>784</v>
      </c>
      <c r="B74" s="147" t="str">
        <f>HYPERLINK("http://codeforces.com/contest/257/problem/C","CF257-D2-C")</f>
        <v>CF257-D2-C</v>
      </c>
      <c r="C74" s="67"/>
      <c r="D74" s="67"/>
      <c r="E74" s="67"/>
      <c r="F74" s="67"/>
      <c r="G74" s="67"/>
      <c r="H74" s="67"/>
      <c r="I74" s="36">
        <f t="shared" si="1"/>
        <v>0</v>
      </c>
      <c r="J74" s="36"/>
      <c r="K74" s="36"/>
      <c r="L74" s="67"/>
      <c r="M74" s="59" t="str">
        <f>HYPERLINK("https://github.com/mostafa-saad/MyCompetitiveProgramming/blob/master/Codeforces/CF257-D2-C-AhmedOsama.pdf","Editorial - Eng Ahmed Osama")</f>
        <v>Editorial - Eng Ahmed Osama</v>
      </c>
    </row>
    <row r="75" spans="1:13" ht="12.5">
      <c r="A75" s="150" t="s">
        <v>785</v>
      </c>
      <c r="B75" s="25" t="str">
        <f>HYPERLINK("http://codeforces.com/contest/454/problem/B","CF454-D2-B")</f>
        <v>CF454-D2-B</v>
      </c>
      <c r="C75" s="67"/>
      <c r="D75" s="67"/>
      <c r="E75" s="67"/>
      <c r="F75" s="67"/>
      <c r="G75" s="67"/>
      <c r="H75" s="67"/>
      <c r="I75" s="36">
        <f t="shared" si="1"/>
        <v>0</v>
      </c>
      <c r="J75" s="36"/>
      <c r="K75" s="36"/>
      <c r="L75" s="67"/>
      <c r="M75" s="56"/>
    </row>
    <row r="76" spans="1:13" ht="13">
      <c r="A76" s="56"/>
      <c r="B76" s="56"/>
      <c r="C76" s="67"/>
      <c r="D76" s="67"/>
      <c r="E76" s="67"/>
      <c r="F76" s="67"/>
      <c r="G76" s="67"/>
      <c r="H76" s="67"/>
      <c r="I76" s="36">
        <f t="shared" si="1"/>
        <v>0</v>
      </c>
      <c r="J76" s="36"/>
      <c r="K76" s="36"/>
      <c r="L76" s="67"/>
      <c r="M76" s="110" t="str">
        <f>HYPERLINK("https://www.youtube.com/watch?v=uKSLJw0ZUd8","Watch - Thinking - Error Inspection - History - Contest Strategy ")</f>
        <v xml:space="preserve">Watch - Thinking - Error Inspection - History - Contest Strategy </v>
      </c>
    </row>
    <row r="77" spans="1:13" ht="13">
      <c r="A77" s="56"/>
      <c r="B77" s="56"/>
      <c r="C77" s="67"/>
      <c r="D77" s="67"/>
      <c r="E77" s="67"/>
      <c r="F77" s="67"/>
      <c r="G77" s="67"/>
      <c r="H77" s="67"/>
      <c r="I77" s="36">
        <f t="shared" si="1"/>
        <v>0</v>
      </c>
      <c r="J77" s="36"/>
      <c r="K77" s="36"/>
      <c r="L77" s="67"/>
      <c r="M77" s="113" t="str">
        <f>HYPERLINK("https://www.youtube.com/watch?v=s3IGwpJwCTA","Watch - DP - Building Output")</f>
        <v>Watch - DP - Building Output</v>
      </c>
    </row>
    <row r="78" spans="1:13" ht="12.5">
      <c r="A78" s="74" t="s">
        <v>786</v>
      </c>
      <c r="B78" s="158" t="str">
        <f>HYPERLINK("https://uva.onlinejudge.org/index.php?option=com_onlinejudge&amp;Itemid=8&amp;page=show_problem&amp;problem=52","UVA 116")</f>
        <v>UVA 116</v>
      </c>
      <c r="C78" s="67"/>
      <c r="D78" s="67"/>
      <c r="E78" s="67"/>
      <c r="F78" s="67"/>
      <c r="G78" s="67"/>
      <c r="H78" s="67"/>
      <c r="I78" s="36">
        <f t="shared" si="1"/>
        <v>0</v>
      </c>
      <c r="J78" s="36"/>
      <c r="K78" s="36"/>
      <c r="L78" s="10"/>
      <c r="M78" s="56"/>
    </row>
    <row r="79" spans="1:13" ht="12.5">
      <c r="A79" s="74" t="s">
        <v>787</v>
      </c>
      <c r="B79" s="158" t="str">
        <f>HYPERLINK("https://uva.onlinejudge.org/index.php?option=com_onlinejudge&amp;Itemid=8&amp;page=show_problem&amp;problem=1394","UVA 10453")</f>
        <v>UVA 10453</v>
      </c>
      <c r="C79" s="67"/>
      <c r="D79" s="67"/>
      <c r="E79" s="67"/>
      <c r="F79" s="67"/>
      <c r="G79" s="67"/>
      <c r="H79" s="67"/>
      <c r="I79" s="36">
        <f t="shared" si="1"/>
        <v>0</v>
      </c>
      <c r="J79" s="36"/>
      <c r="K79" s="36"/>
      <c r="L79" s="67"/>
      <c r="M79" s="147" t="str">
        <f>HYPERLINK("https://github.com/ilyesG/Competitive-Programming/blob/master/UVA/UVA%2010453.cpp","Sol")</f>
        <v>Sol</v>
      </c>
    </row>
    <row r="80" spans="1:13" ht="12.5">
      <c r="A80" s="74" t="s">
        <v>788</v>
      </c>
      <c r="B80" s="158" t="str">
        <f>HYPERLINK("https://uva.onlinejudge.org/index.php?option=com_onlinejudge&amp;Itemid=8&amp;page=show_problem&amp;problem=603","UVA 662")</f>
        <v>UVA 662</v>
      </c>
      <c r="C80" s="67"/>
      <c r="D80" s="67"/>
      <c r="E80" s="67"/>
      <c r="F80" s="67"/>
      <c r="G80" s="67"/>
      <c r="H80" s="67"/>
      <c r="I80" s="36">
        <f t="shared" si="1"/>
        <v>0</v>
      </c>
      <c r="J80" s="36"/>
      <c r="K80" s="36"/>
      <c r="L80" s="67"/>
      <c r="M80" s="56"/>
    </row>
    <row r="81" spans="1:13" ht="12.5">
      <c r="A81" s="74" t="s">
        <v>789</v>
      </c>
      <c r="B81" s="158" t="str">
        <f>HYPERLINK("https://uva.onlinejudge.org/index.php?option=onlinejudge&amp;page=show_problem&amp;problem=2399","UVA 11404")</f>
        <v>UVA 11404</v>
      </c>
      <c r="C81" s="67"/>
      <c r="D81" s="67"/>
      <c r="E81" s="67"/>
      <c r="F81" s="67"/>
      <c r="G81" s="67"/>
      <c r="H81" s="67"/>
      <c r="I81" s="36">
        <f t="shared" si="1"/>
        <v>0</v>
      </c>
      <c r="J81" s="36"/>
      <c r="K81" s="36"/>
      <c r="L81" s="67"/>
      <c r="M81" s="56"/>
    </row>
    <row r="82" spans="1:13" ht="12.5">
      <c r="A82" s="74" t="s">
        <v>790</v>
      </c>
      <c r="B82" s="158" t="str">
        <f>HYPERLINK("https://uva.onlinejudge.org/index.php?option=com_onlinejudge&amp;Itemid=8&amp;page=show_problem&amp;problem=698","UVA 757")</f>
        <v>UVA 757</v>
      </c>
      <c r="C82" s="67"/>
      <c r="D82" s="67"/>
      <c r="E82" s="67"/>
      <c r="F82" s="67"/>
      <c r="G82" s="67"/>
      <c r="H82" s="67"/>
      <c r="I82" s="36">
        <f t="shared" si="1"/>
        <v>0</v>
      </c>
      <c r="J82" s="36"/>
      <c r="K82" s="36"/>
      <c r="L82" s="67"/>
      <c r="M82" s="59" t="str">
        <f>HYPERLINK("https://github.com/magdy-hasan/competitive-programming/blob/master/uva-/uva%20757%20-%20Gone%20Fishing.cpp","Sol to read")</f>
        <v>Sol to read</v>
      </c>
    </row>
    <row r="83" spans="1:13" ht="12.5">
      <c r="A83" s="79" t="s">
        <v>791</v>
      </c>
      <c r="B83" s="80" t="str">
        <f>HYPERLINK("http://codeforces.com/contest/199/problem/B","CF199-D2-B")</f>
        <v>CF199-D2-B</v>
      </c>
      <c r="C83" s="67"/>
      <c r="D83" s="67"/>
      <c r="E83" s="67"/>
      <c r="F83" s="67"/>
      <c r="G83" s="67"/>
      <c r="H83" s="67"/>
      <c r="I83" s="36">
        <f t="shared" si="1"/>
        <v>0</v>
      </c>
      <c r="J83" s="36"/>
      <c r="K83" s="36"/>
      <c r="L83" s="67"/>
      <c r="M83" s="56"/>
    </row>
    <row r="84" spans="1:13" ht="12.5">
      <c r="A84" s="79" t="s">
        <v>792</v>
      </c>
      <c r="B84" s="118" t="str">
        <f>HYPERLINK("https://uva.onlinejudge.org/index.php?option=onlinejudge&amp;page=show_problem&amp;problem=1242","UVA 10301")</f>
        <v>UVA 10301</v>
      </c>
      <c r="C84" s="67"/>
      <c r="D84" s="67"/>
      <c r="E84" s="67"/>
      <c r="F84" s="67"/>
      <c r="G84" s="67"/>
      <c r="H84" s="67"/>
      <c r="I84" s="36">
        <f t="shared" si="1"/>
        <v>0</v>
      </c>
      <c r="J84" s="36"/>
      <c r="K84" s="36"/>
      <c r="L84" s="67"/>
      <c r="M84" s="147" t="str">
        <f>HYPERLINK("https://github.com/MeGaCrazy/CompetitiveProgramming/blob/51252e18803855ed2eacedc50f53b90fe8d184e6/UVA/UVA_10301.cpp","Sol")</f>
        <v>Sol</v>
      </c>
    </row>
    <row r="85" spans="1:13" ht="13">
      <c r="A85" s="56"/>
      <c r="B85" s="56"/>
      <c r="C85" s="67"/>
      <c r="D85" s="67"/>
      <c r="E85" s="67"/>
      <c r="F85" s="67"/>
      <c r="G85" s="67"/>
      <c r="H85" s="67"/>
      <c r="I85" s="36">
        <f t="shared" si="1"/>
        <v>0</v>
      </c>
      <c r="J85" s="36"/>
      <c r="K85" s="36"/>
      <c r="L85" s="67"/>
      <c r="M85" s="113" t="str">
        <f>HYPERLINK("https://www.youtube.com/watch?v=lE09Ss_Sy0A","Watch - DP - Counting")</f>
        <v>Watch - DP - Counting</v>
      </c>
    </row>
    <row r="86" spans="1:13" ht="12.5">
      <c r="A86" s="74" t="s">
        <v>793</v>
      </c>
      <c r="B86" s="128" t="str">
        <f>HYPERLINK("http://codeforces.com/contest/431/problem/C","CF431-D2-C")</f>
        <v>CF431-D2-C</v>
      </c>
      <c r="C86" s="67"/>
      <c r="D86" s="67"/>
      <c r="E86" s="67"/>
      <c r="F86" s="67"/>
      <c r="G86" s="67"/>
      <c r="H86" s="67"/>
      <c r="I86" s="36">
        <f t="shared" si="1"/>
        <v>0</v>
      </c>
      <c r="J86" s="36"/>
      <c r="K86" s="36"/>
      <c r="L86" s="10"/>
      <c r="M86" s="59" t="str">
        <f>HYPERLINK("https://www.youtube.com/watch?v=M7UEOmsCxuQ","Video Solution - Solver to be (Java)")</f>
        <v>Video Solution - Solver to be (Java)</v>
      </c>
    </row>
    <row r="87" spans="1:13" ht="12.5">
      <c r="A87" s="179" t="s">
        <v>794</v>
      </c>
      <c r="B87" s="180" t="str">
        <f>HYPERLINK("http://codeforces.com/contest/118/problem/D","CF118-D2-D")</f>
        <v>CF118-D2-D</v>
      </c>
      <c r="C87" s="67"/>
      <c r="D87" s="67"/>
      <c r="E87" s="67"/>
      <c r="F87" s="67"/>
      <c r="G87" s="67"/>
      <c r="H87" s="67"/>
      <c r="I87" s="36">
        <f t="shared" si="1"/>
        <v>0</v>
      </c>
      <c r="J87" s="36"/>
      <c r="K87" s="36"/>
      <c r="L87" s="67"/>
      <c r="M87" s="181"/>
    </row>
    <row r="88" spans="1:13" ht="12.5">
      <c r="A88" s="182" t="str">
        <f>HYPERLINK("https://community.topcoder.com/stat?c=problem_statement&amp;pm=4471&amp;rd=10711","UnsealTheSafe")</f>
        <v>UnsealTheSafe</v>
      </c>
      <c r="B88" s="183" t="s">
        <v>795</v>
      </c>
      <c r="C88" s="67"/>
      <c r="D88" s="67"/>
      <c r="E88" s="67"/>
      <c r="F88" s="67"/>
      <c r="G88" s="67"/>
      <c r="H88" s="67"/>
      <c r="I88" s="36">
        <f t="shared" si="1"/>
        <v>0</v>
      </c>
      <c r="J88" s="36"/>
      <c r="K88" s="36"/>
      <c r="L88" s="67"/>
      <c r="M88" s="181"/>
    </row>
    <row r="89" spans="1:13" ht="12.5">
      <c r="A89" s="128" t="str">
        <f>HYPERLINK("https://community.topcoder.com/stat?c=problem_statement&amp;pm=7601&amp;rd=10673","DiceGames")</f>
        <v>DiceGames</v>
      </c>
      <c r="B89" s="74" t="s">
        <v>796</v>
      </c>
      <c r="C89" s="67"/>
      <c r="D89" s="67"/>
      <c r="E89" s="67"/>
      <c r="F89" s="67"/>
      <c r="G89" s="67"/>
      <c r="H89" s="67"/>
      <c r="I89" s="36">
        <f t="shared" si="1"/>
        <v>0</v>
      </c>
      <c r="J89" s="10"/>
      <c r="K89" s="10"/>
      <c r="L89" s="10"/>
      <c r="M89" s="10"/>
    </row>
    <row r="90" spans="1:13" ht="12.5">
      <c r="A90" s="117"/>
      <c r="B90" s="79" t="s">
        <v>797</v>
      </c>
      <c r="C90" s="67"/>
      <c r="D90" s="67"/>
      <c r="E90" s="67"/>
      <c r="F90" s="67"/>
      <c r="G90" s="67"/>
      <c r="H90" s="67"/>
      <c r="I90" s="36">
        <f t="shared" si="1"/>
        <v>0</v>
      </c>
      <c r="J90" s="36"/>
      <c r="K90" s="36"/>
      <c r="L90" s="67"/>
      <c r="M90" s="147" t="str">
        <f>HYPERLINK("https://github.com/mostafa-saad/MyCompetitiveProgramming/blob/master/SPOJ/SPOJ_TWINSNOW.txt","Sol - text clarification")</f>
        <v>Sol - text clarification</v>
      </c>
    </row>
    <row r="91" spans="1:13" ht="12.5">
      <c r="A91" s="117"/>
      <c r="B91" s="79" t="s">
        <v>798</v>
      </c>
      <c r="C91" s="67"/>
      <c r="D91" s="67"/>
      <c r="E91" s="67"/>
      <c r="F91" s="67"/>
      <c r="G91" s="67"/>
      <c r="H91" s="67"/>
      <c r="I91" s="36">
        <f t="shared" si="1"/>
        <v>0</v>
      </c>
      <c r="J91" s="36"/>
      <c r="K91" s="36"/>
      <c r="L91" s="67"/>
      <c r="M91" s="147" t="str">
        <f>HYPERLINK("https://github.com/mostafa-saad/MyCompetitiveProgramming/blob/master/SPOJ/SPOJ_FACENEMY.txt","Sol")</f>
        <v>Sol</v>
      </c>
    </row>
    <row r="92" spans="1:13" ht="12.5">
      <c r="A92" s="56"/>
      <c r="B92" s="56"/>
      <c r="C92" s="67"/>
      <c r="D92" s="67"/>
      <c r="E92" s="67"/>
      <c r="F92" s="67"/>
      <c r="G92" s="67"/>
      <c r="H92" s="67"/>
      <c r="I92" s="36">
        <f t="shared" si="1"/>
        <v>0</v>
      </c>
      <c r="J92" s="36"/>
      <c r="K92" s="36"/>
      <c r="L92" s="67"/>
      <c r="M92" s="181"/>
    </row>
    <row r="93" spans="1:13" ht="12.5">
      <c r="A93" s="56" t="s">
        <v>799</v>
      </c>
      <c r="B93" s="87" t="str">
        <f>HYPERLINK("http://codeforces.com/contest/465/problem/C","CF465-D2-C")</f>
        <v>CF465-D2-C</v>
      </c>
      <c r="C93" s="67"/>
      <c r="D93" s="67"/>
      <c r="E93" s="67"/>
      <c r="F93" s="67"/>
      <c r="G93" s="67"/>
      <c r="H93" s="67"/>
      <c r="I93" s="36">
        <f t="shared" si="1"/>
        <v>0</v>
      </c>
      <c r="J93" s="10"/>
      <c r="K93" s="10"/>
      <c r="L93" s="10"/>
      <c r="M93" s="10"/>
    </row>
    <row r="94" spans="1:13" ht="12.5">
      <c r="A94" s="56" t="s">
        <v>800</v>
      </c>
      <c r="B94" s="87" t="str">
        <f>HYPERLINK("http://codeforces.com/contest/408/problem/C","CF408-D2-C")</f>
        <v>CF408-D2-C</v>
      </c>
      <c r="C94" s="67"/>
      <c r="D94" s="67"/>
      <c r="E94" s="67"/>
      <c r="F94" s="67"/>
      <c r="G94" s="67"/>
      <c r="H94" s="67"/>
      <c r="I94" s="36">
        <f t="shared" si="1"/>
        <v>0</v>
      </c>
      <c r="J94" s="10"/>
      <c r="K94" s="10"/>
      <c r="L94" s="10"/>
      <c r="M94" s="10"/>
    </row>
    <row r="95" spans="1:13" ht="12.5">
      <c r="A95" s="56" t="s">
        <v>801</v>
      </c>
      <c r="B95" s="87" t="str">
        <f>HYPERLINK("http://codeforces.com/contest/231/problem/C","CF231-D2-C")</f>
        <v>CF231-D2-C</v>
      </c>
      <c r="C95" s="67"/>
      <c r="D95" s="67"/>
      <c r="E95" s="67"/>
      <c r="F95" s="67"/>
      <c r="G95" s="67"/>
      <c r="H95" s="67"/>
      <c r="I95" s="36">
        <f t="shared" si="1"/>
        <v>0</v>
      </c>
      <c r="J95" s="10"/>
      <c r="K95" s="10"/>
      <c r="L95" s="10"/>
      <c r="M95" s="10"/>
    </row>
    <row r="96" spans="1:13" ht="12.5">
      <c r="A96" s="60" t="s">
        <v>802</v>
      </c>
      <c r="B96" s="184" t="str">
        <f>HYPERLINK("http://codeforces.com/contest/466/problem/C","CF466-D2-C")</f>
        <v>CF466-D2-C</v>
      </c>
      <c r="C96" s="67"/>
      <c r="D96" s="67"/>
      <c r="E96" s="67"/>
      <c r="F96" s="67"/>
      <c r="G96" s="67"/>
      <c r="H96" s="67"/>
      <c r="I96" s="36">
        <f t="shared" si="1"/>
        <v>0</v>
      </c>
      <c r="J96" s="36"/>
      <c r="K96" s="36"/>
      <c r="L96" s="67"/>
      <c r="M96" s="59" t="str">
        <f>HYPERLINK("https://www.youtube.com/watch?v=8G06-YDc2-I","Video Solution - Solver to be (Java)")</f>
        <v>Video Solution - Solver to be (Java)</v>
      </c>
    </row>
    <row r="97" spans="1:13" ht="12.5">
      <c r="A97" s="46" t="s">
        <v>656</v>
      </c>
      <c r="B97" s="147" t="str">
        <f>HYPERLINK("http://codeforces.com/contest/141/problem/C","CF141-D2-C")</f>
        <v>CF141-D2-C</v>
      </c>
      <c r="C97" s="67"/>
      <c r="D97" s="67"/>
      <c r="E97" s="67"/>
      <c r="F97" s="67"/>
      <c r="G97" s="67"/>
      <c r="H97" s="67"/>
      <c r="I97" s="36">
        <f t="shared" si="1"/>
        <v>0</v>
      </c>
      <c r="J97" s="36"/>
      <c r="K97" s="36"/>
      <c r="L97" s="67"/>
      <c r="M97" s="56"/>
    </row>
    <row r="98" spans="1:13" ht="12.5">
      <c r="A98" s="46" t="s">
        <v>803</v>
      </c>
      <c r="B98" s="147" t="str">
        <f>HYPERLINK("http://codeforces.com/contest/270/problem/C","CF270-D2-C")</f>
        <v>CF270-D2-C</v>
      </c>
      <c r="C98" s="67"/>
      <c r="D98" s="67"/>
      <c r="E98" s="67"/>
      <c r="F98" s="67"/>
      <c r="G98" s="67"/>
      <c r="H98" s="67"/>
      <c r="I98" s="36">
        <f t="shared" si="1"/>
        <v>0</v>
      </c>
      <c r="J98" s="36"/>
      <c r="K98" s="36"/>
      <c r="L98" s="67"/>
      <c r="M98" s="56"/>
    </row>
    <row r="99" spans="1:13" ht="12.5">
      <c r="A99" s="46" t="s">
        <v>804</v>
      </c>
      <c r="B99" s="147" t="str">
        <f>HYPERLINK("http://codeforces.com/contest/160/problem/C","CF160-D2-C")</f>
        <v>CF160-D2-C</v>
      </c>
      <c r="C99" s="67"/>
      <c r="D99" s="67"/>
      <c r="E99" s="67"/>
      <c r="F99" s="67"/>
      <c r="G99" s="67"/>
      <c r="H99" s="67"/>
      <c r="I99" s="36">
        <f t="shared" si="1"/>
        <v>0</v>
      </c>
      <c r="J99" s="36"/>
      <c r="K99" s="36"/>
      <c r="L99" s="67"/>
      <c r="M99" s="56"/>
    </row>
    <row r="100" spans="1:13" ht="12.5">
      <c r="A100" s="150" t="s">
        <v>805</v>
      </c>
      <c r="B100" s="25" t="str">
        <f>HYPERLINK("http://codeforces.com/contest/384/problem/B","CF384-D2-B")</f>
        <v>CF384-D2-B</v>
      </c>
      <c r="C100" s="67"/>
      <c r="D100" s="67"/>
      <c r="E100" s="67"/>
      <c r="F100" s="67"/>
      <c r="G100" s="67"/>
      <c r="H100" s="67"/>
      <c r="I100" s="36">
        <f t="shared" si="1"/>
        <v>0</v>
      </c>
      <c r="J100" s="36"/>
      <c r="K100" s="36"/>
      <c r="L100" s="67"/>
      <c r="M100" s="56"/>
    </row>
    <row r="101" spans="1:13" ht="12.5">
      <c r="A101" s="150" t="s">
        <v>806</v>
      </c>
      <c r="B101" s="25" t="str">
        <f>HYPERLINK("http://codeforces.com/contest/233/problem/B","CF233-D2-B")</f>
        <v>CF233-D2-B</v>
      </c>
      <c r="C101" s="67"/>
      <c r="D101" s="67"/>
      <c r="E101" s="67"/>
      <c r="F101" s="67"/>
      <c r="G101" s="67"/>
      <c r="H101" s="67"/>
      <c r="I101" s="36">
        <f t="shared" si="1"/>
        <v>0</v>
      </c>
      <c r="J101" s="36"/>
      <c r="K101" s="36"/>
      <c r="L101" s="67"/>
      <c r="M101" s="56"/>
    </row>
    <row r="102" spans="1:13" ht="13">
      <c r="A102" s="56"/>
      <c r="B102" s="56"/>
      <c r="C102" s="67"/>
      <c r="D102" s="67"/>
      <c r="E102" s="67"/>
      <c r="F102" s="67"/>
      <c r="G102" s="67"/>
      <c r="H102" s="67"/>
      <c r="I102" s="36">
        <f t="shared" si="1"/>
        <v>0</v>
      </c>
      <c r="J102" s="36"/>
      <c r="K102" s="36"/>
      <c r="L102" s="67"/>
      <c r="M102" s="113" t="str">
        <f>HYPERLINK("https://www.youtube.com/watch?v=f_lt366qTZc","Watch - Thinking - Let's Put All Together ")</f>
        <v xml:space="preserve">Watch - Thinking - Let's Put All Together </v>
      </c>
    </row>
    <row r="103" spans="1:13" ht="13">
      <c r="A103" s="56"/>
      <c r="B103" s="56"/>
      <c r="C103" s="67"/>
      <c r="D103" s="67"/>
      <c r="E103" s="67"/>
      <c r="F103" s="67"/>
      <c r="G103" s="67"/>
      <c r="H103" s="67"/>
      <c r="I103" s="36">
        <f t="shared" si="1"/>
        <v>0</v>
      </c>
      <c r="J103" s="36"/>
      <c r="K103" s="36"/>
      <c r="L103" s="67"/>
      <c r="M103" s="113" t="str">
        <f>HYPERLINK("https://www.youtube.com/watch?v=PrXbn8-zw14","Watch - DP - Table Method")</f>
        <v>Watch - DP - Table Method</v>
      </c>
    </row>
    <row r="104" spans="1:13" ht="13">
      <c r="A104" s="56"/>
      <c r="B104" s="56"/>
      <c r="C104" s="67"/>
      <c r="D104" s="67"/>
      <c r="E104" s="67"/>
      <c r="F104" s="67"/>
      <c r="G104" s="67"/>
      <c r="H104" s="67"/>
      <c r="I104" s="36">
        <f t="shared" si="1"/>
        <v>0</v>
      </c>
      <c r="J104" s="36"/>
      <c r="K104" s="36"/>
      <c r="L104" s="67"/>
      <c r="M104" s="113" t="str">
        <f>HYPERLINK("https://www.youtube.com/watch?v=ZIJLCVn4KzQ","Watch - Graph Theory - Floyd Warshal")</f>
        <v>Watch - Graph Theory - Floyd Warshal</v>
      </c>
    </row>
    <row r="105" spans="1:13" ht="12.5">
      <c r="A105" s="74" t="s">
        <v>807</v>
      </c>
      <c r="B105" s="158" t="str">
        <f>HYPERLINK("https://uva.onlinejudge.org/index.php?option=com_onlinejudge&amp;Itemid=8&amp;page=show_problem&amp;problem=475","UVA 534")</f>
        <v>UVA 534</v>
      </c>
      <c r="C105" s="67"/>
      <c r="D105" s="67"/>
      <c r="E105" s="67"/>
      <c r="F105" s="67"/>
      <c r="G105" s="67"/>
      <c r="H105" s="67"/>
      <c r="I105" s="36">
        <f t="shared" si="1"/>
        <v>0</v>
      </c>
      <c r="J105" s="36"/>
      <c r="K105" s="36"/>
      <c r="L105" s="67"/>
      <c r="M105" s="147" t="str">
        <f>HYPERLINK("https://github.com/ilyesG/Competitive-Programming/blob/master/UVA/UVA%20534.cpp","Sol")</f>
        <v>Sol</v>
      </c>
    </row>
    <row r="106" spans="1:13" ht="12.5">
      <c r="A106" s="74" t="s">
        <v>808</v>
      </c>
      <c r="B106" s="158" t="str">
        <f>HYPERLINK("https://uva.onlinejudge.org/index.php?option=com_onlinejudge&amp;Itemid=8&amp;page=show_problem&amp;problem=270","UVA 334")</f>
        <v>UVA 334</v>
      </c>
      <c r="C106" s="67"/>
      <c r="D106" s="67"/>
      <c r="E106" s="67"/>
      <c r="F106" s="67"/>
      <c r="G106" s="67"/>
      <c r="H106" s="67"/>
      <c r="I106" s="36">
        <f t="shared" si="1"/>
        <v>0</v>
      </c>
      <c r="J106" s="36"/>
      <c r="K106" s="36"/>
      <c r="L106" s="67"/>
      <c r="M106" s="46"/>
    </row>
    <row r="107" spans="1:13" ht="12.5">
      <c r="A107" s="74" t="s">
        <v>809</v>
      </c>
      <c r="B107" s="158" t="str">
        <f>HYPERLINK("https://uva.onlinejudge.org/index.php?option=onlinejudge&amp;page=show_problem&amp;problem=61","UVA 125")</f>
        <v>UVA 125</v>
      </c>
      <c r="C107" s="67"/>
      <c r="D107" s="67"/>
      <c r="E107" s="67"/>
      <c r="F107" s="67"/>
      <c r="G107" s="67"/>
      <c r="H107" s="67"/>
      <c r="I107" s="36">
        <f t="shared" si="1"/>
        <v>0</v>
      </c>
      <c r="J107" s="36"/>
      <c r="K107" s="36"/>
      <c r="L107" s="67"/>
      <c r="M107" s="147" t="str">
        <f>HYPERLINK("https://github.com/mostafa-saad/MyCompetitiveProgramming/blob/master/UVA/UVA_125.txt","Sol")</f>
        <v>Sol</v>
      </c>
    </row>
    <row r="108" spans="1:13" ht="12.5">
      <c r="A108" s="79" t="s">
        <v>810</v>
      </c>
      <c r="B108" s="185" t="str">
        <f>HYPERLINK("https://uva.onlinejudge.org/index.php?option=com_onlinejudge&amp;Itemid=8&amp;page=show_problem&amp;problem=209","UVA 273")</f>
        <v>UVA 273</v>
      </c>
      <c r="C108" s="67"/>
      <c r="D108" s="67"/>
      <c r="E108" s="67"/>
      <c r="F108" s="67"/>
      <c r="G108" s="67"/>
      <c r="H108" s="67"/>
      <c r="I108" s="36">
        <f t="shared" si="1"/>
        <v>0</v>
      </c>
      <c r="J108" s="10"/>
      <c r="K108" s="10"/>
      <c r="L108" s="10"/>
      <c r="M108" s="147" t="str">
        <f>HYPERLINK("https://github.com/MeGaCrazy/CompetitiveProgramming/blob/6c8e6d79950bbe406f56e3b990159810fcca7431/UVA/UVA_273.cpp","Sol")</f>
        <v>Sol</v>
      </c>
    </row>
    <row r="109" spans="1:13" ht="12.5">
      <c r="A109" s="79" t="s">
        <v>811</v>
      </c>
      <c r="B109" s="117" t="str">
        <f>HYPERLINK("https://uva.onlinejudge.org/index.php?option=onlinejudge&amp;page=show_problem&amp;problem=1041","UVA 10100")</f>
        <v>UVA 10100</v>
      </c>
      <c r="C109" s="67"/>
      <c r="D109" s="67"/>
      <c r="E109" s="67"/>
      <c r="F109" s="67"/>
      <c r="G109" s="67"/>
      <c r="H109" s="67"/>
      <c r="I109" s="36">
        <f t="shared" si="1"/>
        <v>0</v>
      </c>
      <c r="J109" s="36"/>
      <c r="K109" s="36"/>
      <c r="L109" s="67"/>
      <c r="M109" s="160" t="s">
        <v>632</v>
      </c>
    </row>
    <row r="110" spans="1:13" ht="12.5">
      <c r="A110" s="79" t="s">
        <v>812</v>
      </c>
      <c r="B110" s="117" t="str">
        <f>HYPERLINK("https://uva.onlinejudge.org/index.php?option=com_onlinejudge&amp;Itemid=8&amp;page=show_problem&amp;problem=2318","UVA 11343")</f>
        <v>UVA 11343</v>
      </c>
      <c r="C110" s="67"/>
      <c r="D110" s="67"/>
      <c r="E110" s="67"/>
      <c r="F110" s="67"/>
      <c r="G110" s="67"/>
      <c r="H110" s="67"/>
      <c r="I110" s="36">
        <f t="shared" si="1"/>
        <v>0</v>
      </c>
      <c r="J110" s="36"/>
      <c r="K110" s="36"/>
      <c r="L110" s="67"/>
      <c r="M110" s="147" t="str">
        <f>HYPERLINK("https://github.com/hosamk92/CompetitiveProgramming/blob/master/UVA/UVA%2011343.cpp","Sol")</f>
        <v>Sol</v>
      </c>
    </row>
    <row r="111" spans="1:13" ht="12.5">
      <c r="A111" s="79" t="s">
        <v>813</v>
      </c>
      <c r="B111" s="117" t="str">
        <f>HYPERLINK("https://uva.onlinejudge.org/index.php?option=com_onlinejudge&amp;Itemid=8&amp;page=show_problem&amp;problem=1139","UVA 10198")</f>
        <v>UVA 10198</v>
      </c>
      <c r="C111" s="67"/>
      <c r="D111" s="67"/>
      <c r="E111" s="67"/>
      <c r="F111" s="67"/>
      <c r="G111" s="67"/>
      <c r="H111" s="67"/>
      <c r="I111" s="36">
        <f t="shared" si="1"/>
        <v>0</v>
      </c>
      <c r="J111" s="36"/>
      <c r="K111" s="36"/>
      <c r="L111" s="67"/>
      <c r="M111" s="186" t="str">
        <f>HYPERLINK("https://github.com/lamphanviet/competitive-programming/blob/master/uva-online-judge/accepted-solutions/10198%20-%20Counting.cpp","Needs Big Integer: Have it in your cpp library or learn Java for these (rare) cases")</f>
        <v>Needs Big Integer: Have it in your cpp library or learn Java for these (rare) cases</v>
      </c>
    </row>
    <row r="112" spans="1:13" ht="12.5">
      <c r="A112" s="56"/>
      <c r="B112" s="56"/>
      <c r="C112" s="67"/>
      <c r="D112" s="67"/>
      <c r="E112" s="67"/>
      <c r="F112" s="67"/>
      <c r="G112" s="67"/>
      <c r="H112" s="67"/>
      <c r="I112" s="36">
        <f t="shared" si="1"/>
        <v>0</v>
      </c>
      <c r="J112" s="36"/>
      <c r="K112" s="36"/>
      <c r="L112" s="67"/>
      <c r="M112" s="56"/>
    </row>
    <row r="113" spans="1:13" ht="12.5">
      <c r="A113" s="56" t="s">
        <v>814</v>
      </c>
      <c r="B113" s="87" t="str">
        <f>HYPERLINK("http://codeforces.com/contest/349/problem/C","CF349-D2-C")</f>
        <v>CF349-D2-C</v>
      </c>
      <c r="C113" s="67"/>
      <c r="D113" s="67"/>
      <c r="E113" s="67"/>
      <c r="F113" s="67"/>
      <c r="G113" s="67"/>
      <c r="H113" s="67"/>
      <c r="I113" s="36">
        <f t="shared" si="1"/>
        <v>0</v>
      </c>
      <c r="J113" s="10"/>
      <c r="K113" s="10"/>
      <c r="L113" s="10"/>
      <c r="M113" s="10"/>
    </row>
    <row r="114" spans="1:13" ht="12.5">
      <c r="A114" s="56" t="s">
        <v>815</v>
      </c>
      <c r="B114" s="87" t="str">
        <f>HYPERLINK("http://codeforces.com/contest/381/problem/C","CF381-D2-C")</f>
        <v>CF381-D2-C</v>
      </c>
      <c r="C114" s="67"/>
      <c r="D114" s="67"/>
      <c r="E114" s="67"/>
      <c r="F114" s="67"/>
      <c r="G114" s="67"/>
      <c r="H114" s="67"/>
      <c r="I114" s="36">
        <f t="shared" si="1"/>
        <v>0</v>
      </c>
      <c r="J114" s="10"/>
      <c r="K114" s="10"/>
      <c r="L114" s="10"/>
      <c r="M114" s="10"/>
    </row>
    <row r="115" spans="1:13" ht="12.5">
      <c r="A115" s="56" t="s">
        <v>816</v>
      </c>
      <c r="B115" s="87" t="str">
        <f>HYPERLINK("http://codeforces.com/contest/199/problem/C","CF199-D2-C")</f>
        <v>CF199-D2-C</v>
      </c>
      <c r="C115" s="67"/>
      <c r="D115" s="67"/>
      <c r="E115" s="67"/>
      <c r="F115" s="67"/>
      <c r="G115" s="67"/>
      <c r="H115" s="67"/>
      <c r="I115" s="36">
        <f t="shared" si="1"/>
        <v>0</v>
      </c>
      <c r="J115" s="10"/>
      <c r="K115" s="10"/>
      <c r="L115" s="10"/>
      <c r="M115" s="10"/>
    </row>
    <row r="116" spans="1:13" ht="12.5">
      <c r="A116" s="56" t="s">
        <v>817</v>
      </c>
      <c r="B116" s="87" t="str">
        <f>HYPERLINK("http://codeforces.com/contest/520/problem/C","CF520-D2-C")</f>
        <v>CF520-D2-C</v>
      </c>
      <c r="C116" s="67"/>
      <c r="D116" s="67"/>
      <c r="E116" s="67"/>
      <c r="F116" s="67"/>
      <c r="G116" s="67"/>
      <c r="H116" s="67"/>
      <c r="I116" s="36">
        <f t="shared" si="1"/>
        <v>0</v>
      </c>
      <c r="J116" s="10"/>
      <c r="K116" s="10"/>
      <c r="L116" s="10"/>
      <c r="M116" s="10"/>
    </row>
    <row r="117" spans="1:13" ht="12.5">
      <c r="A117" s="56" t="s">
        <v>818</v>
      </c>
      <c r="B117" s="87" t="str">
        <f>HYPERLINK("http://codeforces.com/contest/567/problem/C","CF567-D2-C")</f>
        <v>CF567-D2-C</v>
      </c>
      <c r="C117" s="67"/>
      <c r="D117" s="67"/>
      <c r="E117" s="67"/>
      <c r="F117" s="67"/>
      <c r="G117" s="67"/>
      <c r="H117" s="67"/>
      <c r="I117" s="36">
        <f t="shared" si="1"/>
        <v>0</v>
      </c>
      <c r="J117" s="10"/>
      <c r="K117" s="10"/>
      <c r="L117" s="10"/>
      <c r="M117" s="10"/>
    </row>
    <row r="118" spans="1:13" ht="12.5">
      <c r="A118" s="46" t="s">
        <v>819</v>
      </c>
      <c r="B118" s="147" t="str">
        <f>HYPERLINK("http://codeforces.com/contest/617/problem/C","CF617-D2-C")</f>
        <v>CF617-D2-C</v>
      </c>
      <c r="C118" s="67"/>
      <c r="D118" s="67"/>
      <c r="E118" s="67"/>
      <c r="F118" s="67"/>
      <c r="G118" s="67"/>
      <c r="H118" s="67"/>
      <c r="I118" s="36">
        <f t="shared" si="1"/>
        <v>0</v>
      </c>
      <c r="J118" s="36"/>
      <c r="K118" s="36"/>
      <c r="L118" s="67"/>
      <c r="M118" s="56"/>
    </row>
    <row r="119" spans="1:13" ht="12.5">
      <c r="A119" s="46" t="s">
        <v>820</v>
      </c>
      <c r="B119" s="147" t="str">
        <f>HYPERLINK("http://codeforces.com/contest/337/problem/C","CF337-D2-C")</f>
        <v>CF337-D2-C</v>
      </c>
      <c r="C119" s="67"/>
      <c r="D119" s="67"/>
      <c r="E119" s="67"/>
      <c r="F119" s="67"/>
      <c r="G119" s="67"/>
      <c r="H119" s="67"/>
      <c r="I119" s="36">
        <f t="shared" si="1"/>
        <v>0</v>
      </c>
      <c r="J119" s="36"/>
      <c r="K119" s="36"/>
      <c r="L119" s="67"/>
      <c r="M119" s="56"/>
    </row>
    <row r="120" spans="1:13" ht="12.5">
      <c r="A120" s="150" t="s">
        <v>821</v>
      </c>
      <c r="B120" s="25" t="str">
        <f>HYPERLINK("http://codeforces.com/contest/496/problem/B","CF496-D2-B")</f>
        <v>CF496-D2-B</v>
      </c>
      <c r="C120" s="67"/>
      <c r="D120" s="67"/>
      <c r="E120" s="67"/>
      <c r="F120" s="67"/>
      <c r="G120" s="67"/>
      <c r="H120" s="67"/>
      <c r="I120" s="36">
        <f t="shared" si="1"/>
        <v>0</v>
      </c>
      <c r="J120" s="36"/>
      <c r="K120" s="36"/>
      <c r="L120" s="67"/>
      <c r="M120" s="56"/>
    </row>
    <row r="121" spans="1:13" ht="12.5">
      <c r="A121" s="150" t="s">
        <v>822</v>
      </c>
      <c r="B121" s="25" t="str">
        <f>HYPERLINK("http://codeforces.com/contest/471/problem/B","CF471-D2-B")</f>
        <v>CF471-D2-B</v>
      </c>
      <c r="C121" s="67"/>
      <c r="D121" s="67"/>
      <c r="E121" s="67"/>
      <c r="F121" s="67"/>
      <c r="G121" s="67"/>
      <c r="H121" s="67"/>
      <c r="I121" s="36">
        <f t="shared" si="1"/>
        <v>0</v>
      </c>
      <c r="J121" s="36"/>
      <c r="K121" s="36"/>
      <c r="L121" s="67"/>
      <c r="M121" s="56"/>
    </row>
    <row r="122" spans="1:13" ht="12.5">
      <c r="A122" s="150" t="s">
        <v>823</v>
      </c>
      <c r="B122" s="25" t="str">
        <f>HYPERLINK("http://codeforces.com/contest/146/problem/B","CF146-D2-B")</f>
        <v>CF146-D2-B</v>
      </c>
      <c r="C122" s="67"/>
      <c r="D122" s="67"/>
      <c r="E122" s="67"/>
      <c r="F122" s="67"/>
      <c r="G122" s="67"/>
      <c r="H122" s="67"/>
      <c r="I122" s="36">
        <f t="shared" si="1"/>
        <v>0</v>
      </c>
      <c r="J122" s="36"/>
      <c r="K122" s="36"/>
      <c r="L122" s="67"/>
      <c r="M122" s="56"/>
    </row>
    <row r="123" spans="1:13" ht="12.5">
      <c r="A123" s="46"/>
      <c r="B123" s="46"/>
      <c r="C123" s="67"/>
      <c r="D123" s="67"/>
      <c r="E123" s="67"/>
      <c r="F123" s="67"/>
      <c r="G123" s="67"/>
      <c r="H123" s="67"/>
      <c r="I123" s="36">
        <f t="shared" si="1"/>
        <v>0</v>
      </c>
      <c r="J123" s="36"/>
      <c r="K123" s="36"/>
      <c r="L123" s="67"/>
      <c r="M123" s="56"/>
    </row>
    <row r="124" spans="1:13" ht="13">
      <c r="A124" s="46"/>
      <c r="B124" s="46"/>
      <c r="C124" s="67"/>
      <c r="D124" s="67"/>
      <c r="E124" s="67"/>
      <c r="F124" s="67"/>
      <c r="G124" s="67"/>
      <c r="H124" s="67"/>
      <c r="I124" s="36">
        <f t="shared" si="1"/>
        <v>0</v>
      </c>
      <c r="J124" s="36"/>
      <c r="K124" s="36"/>
      <c r="L124" s="67"/>
      <c r="M124" s="113" t="str">
        <f>HYPERLINK("https://www.youtube.com/watch?v=ZNYQrKpR42g","Watch - Measuring Algorithms Perfromance - 2")</f>
        <v>Watch - Measuring Algorithms Perfromance - 2</v>
      </c>
    </row>
    <row r="125" spans="1:13" ht="13">
      <c r="A125" s="46"/>
      <c r="B125" s="46"/>
      <c r="C125" s="67"/>
      <c r="D125" s="67"/>
      <c r="E125" s="67"/>
      <c r="F125" s="67"/>
      <c r="G125" s="67"/>
      <c r="H125" s="67"/>
      <c r="I125" s="36">
        <f t="shared" si="1"/>
        <v>0</v>
      </c>
      <c r="J125" s="36"/>
      <c r="K125" s="36"/>
      <c r="L125" s="67"/>
      <c r="M125" s="119" t="str">
        <f>HYPERLINK("https://www.youtube.com/watch?v=RASvnfG2SSE","Watch - Graph Theory - Tree Diameter and Isomorphism")</f>
        <v>Watch - Graph Theory - Tree Diameter and Isomorphism</v>
      </c>
    </row>
    <row r="126" spans="1:13" ht="12.5">
      <c r="A126" s="74" t="s">
        <v>824</v>
      </c>
      <c r="B126" s="128" t="str">
        <f>HYPERLINK("http://www.spoj.com/problems/PT07Z/","SPOJ PT07Z")</f>
        <v>SPOJ PT07Z</v>
      </c>
      <c r="C126" s="67"/>
      <c r="D126" s="67"/>
      <c r="E126" s="67"/>
      <c r="F126" s="67"/>
      <c r="G126" s="67"/>
      <c r="H126" s="67"/>
      <c r="I126" s="36">
        <f t="shared" si="1"/>
        <v>0</v>
      </c>
      <c r="J126" s="36"/>
      <c r="K126" s="36"/>
      <c r="L126" s="67"/>
      <c r="M126" s="147" t="str">
        <f>HYPERLINK("https://github.com/abdullaAshraf/Problem-Solving/blob/master/SPOJ/PT07Z.cpp","Sol")</f>
        <v>Sol</v>
      </c>
    </row>
    <row r="127" spans="1:13" ht="12.5">
      <c r="A127" s="74" t="s">
        <v>825</v>
      </c>
      <c r="B127" s="128" t="str">
        <f>HYPERLINK("https://uva.onlinejudge.org/index.php?option=com_onlinejudge&amp;Itemid=8&amp;page=show_problem&amp;problem=1249","UVA 10308")</f>
        <v>UVA 10308</v>
      </c>
      <c r="C127" s="67"/>
      <c r="D127" s="67"/>
      <c r="E127" s="67"/>
      <c r="F127" s="67"/>
      <c r="G127" s="67"/>
      <c r="H127" s="67"/>
      <c r="I127" s="36">
        <f t="shared" si="1"/>
        <v>0</v>
      </c>
      <c r="J127" s="36"/>
      <c r="K127" s="36"/>
      <c r="L127" s="67"/>
      <c r="M127" s="147" t="str">
        <f>HYPERLINK("https://github.com/ilyesG/Competitive-Programming/blob/master/UVA/UVA%2010308.cpp","Sol")</f>
        <v>Sol</v>
      </c>
    </row>
    <row r="128" spans="1:13" ht="12.5">
      <c r="A128" s="74" t="s">
        <v>826</v>
      </c>
      <c r="B128" s="152" t="str">
        <f>HYPERLINK("https://icpcarchive.ecs.baylor.edu/index.php?option=com_onlinejudge&amp;Itemid=8&amp;page=show_problem&amp;problem=936","LIVEARCHIVE 2935")</f>
        <v>LIVEARCHIVE 2935</v>
      </c>
      <c r="C128" s="67"/>
      <c r="D128" s="67"/>
      <c r="E128" s="67"/>
      <c r="F128" s="67"/>
      <c r="G128" s="67"/>
      <c r="H128" s="67"/>
      <c r="I128" s="36">
        <f t="shared" si="1"/>
        <v>0</v>
      </c>
      <c r="J128" s="36"/>
      <c r="K128" s="36"/>
      <c r="L128" s="67"/>
      <c r="M128" s="147" t="str">
        <f>HYPERLINK("https://github.com/mostafa-saad/MyCompetitiveProgramming/blob/master/LiveArchive/LiveArchive_2935.txt","Sol")</f>
        <v>Sol</v>
      </c>
    </row>
    <row r="129" spans="1:13" ht="12.5">
      <c r="A129" s="46"/>
      <c r="B129" s="46"/>
      <c r="C129" s="67"/>
      <c r="D129" s="67"/>
      <c r="E129" s="67"/>
      <c r="F129" s="67"/>
      <c r="G129" s="67"/>
      <c r="H129" s="67"/>
      <c r="I129" s="36">
        <f t="shared" si="1"/>
        <v>0</v>
      </c>
      <c r="J129" s="36"/>
      <c r="K129" s="36"/>
      <c r="L129" s="67"/>
      <c r="M129" s="56"/>
    </row>
    <row r="130" spans="1:13" ht="12.5">
      <c r="A130" s="56" t="s">
        <v>827</v>
      </c>
      <c r="B130" s="87" t="str">
        <f>HYPERLINK("http://codeforces.com/contest/294/problem/C","CF294-D2-C")</f>
        <v>CF294-D2-C</v>
      </c>
      <c r="C130" s="67"/>
      <c r="D130" s="67"/>
      <c r="E130" s="67"/>
      <c r="F130" s="67"/>
      <c r="G130" s="67"/>
      <c r="H130" s="67"/>
      <c r="I130" s="36">
        <f t="shared" si="1"/>
        <v>0</v>
      </c>
      <c r="J130" s="10"/>
      <c r="K130" s="10"/>
      <c r="L130" s="10"/>
      <c r="M130" s="87" t="str">
        <f>HYPERLINK("https://www.youtube.com/watch?v=xB6St1GAKUg","Video Solution - Dr Mostafa Saad")</f>
        <v>Video Solution - Dr Mostafa Saad</v>
      </c>
    </row>
    <row r="131" spans="1:13" ht="12.5">
      <c r="A131" s="46" t="s">
        <v>828</v>
      </c>
      <c r="B131" s="147" t="str">
        <f>HYPERLINK("http://codeforces.com/contest/721/problem/C","CF721-D2-C")</f>
        <v>CF721-D2-C</v>
      </c>
      <c r="C131" s="67"/>
      <c r="D131" s="67"/>
      <c r="E131" s="67"/>
      <c r="F131" s="67"/>
      <c r="G131" s="67"/>
      <c r="H131" s="67"/>
      <c r="I131" s="36">
        <f t="shared" si="1"/>
        <v>0</v>
      </c>
      <c r="J131" s="36"/>
      <c r="K131" s="36"/>
      <c r="L131" s="67"/>
      <c r="M131" s="56"/>
    </row>
    <row r="132" spans="1:13" ht="12.5">
      <c r="A132" s="56" t="s">
        <v>829</v>
      </c>
      <c r="B132" s="87" t="str">
        <f>HYPERLINK("http://codeforces.com/contest/474/problem/C","CF474-D2-C")</f>
        <v>CF474-D2-C</v>
      </c>
      <c r="C132" s="67"/>
      <c r="D132" s="67"/>
      <c r="E132" s="67"/>
      <c r="F132" s="67"/>
      <c r="G132" s="67"/>
      <c r="H132" s="67"/>
      <c r="I132" s="36">
        <f t="shared" si="1"/>
        <v>0</v>
      </c>
      <c r="J132" s="36"/>
      <c r="K132" s="36"/>
      <c r="L132" s="10"/>
      <c r="M132" s="59" t="str">
        <f>HYPERLINK("https://www.youtube.com/watch?v=TpRObCQT9Lw","Video Solution - Dr Mostafa Saad")</f>
        <v>Video Solution - Dr Mostafa Saad</v>
      </c>
    </row>
    <row r="133" spans="1:13" ht="12.5">
      <c r="A133" s="56" t="s">
        <v>830</v>
      </c>
      <c r="B133" s="171" t="str">
        <f>HYPERLINK("http://codeforces.com/contest/592/problem/C","CF592-D2-C")</f>
        <v>CF592-D2-C</v>
      </c>
      <c r="C133" s="67"/>
      <c r="D133" s="67"/>
      <c r="E133" s="67"/>
      <c r="F133" s="67"/>
      <c r="G133" s="67"/>
      <c r="H133" s="67"/>
      <c r="I133" s="36">
        <f t="shared" si="1"/>
        <v>0</v>
      </c>
      <c r="J133" s="10"/>
      <c r="K133" s="10"/>
      <c r="L133" s="10"/>
      <c r="M133" s="10"/>
    </row>
    <row r="134" spans="1:13" ht="12.5">
      <c r="A134" s="56" t="s">
        <v>831</v>
      </c>
      <c r="B134" s="171" t="str">
        <f>HYPERLINK("http://codeforces.com/contest/776/problem/C","CF776-D2-C")</f>
        <v>CF776-D2-C</v>
      </c>
      <c r="C134" s="67"/>
      <c r="D134" s="67"/>
      <c r="E134" s="67"/>
      <c r="F134" s="67"/>
      <c r="G134" s="67"/>
      <c r="H134" s="67"/>
      <c r="I134" s="36">
        <f t="shared" si="1"/>
        <v>0</v>
      </c>
      <c r="J134" s="10"/>
      <c r="K134" s="10"/>
      <c r="L134" s="10"/>
      <c r="M134" s="70" t="str">
        <f>HYPERLINK("https://www.youtube.com/watch?v=5roeMaM3T3Y","Video Solution - Solver to be (Java)")</f>
        <v>Video Solution - Solver to be (Java)</v>
      </c>
    </row>
    <row r="135" spans="1:13" ht="12.5">
      <c r="A135" s="150" t="s">
        <v>832</v>
      </c>
      <c r="B135" s="175" t="str">
        <f>HYPERLINK("http://codeforces.com/contest/719/problem/B","CF719-D2-B")</f>
        <v>CF719-D2-B</v>
      </c>
      <c r="C135" s="67"/>
      <c r="D135" s="67"/>
      <c r="E135" s="67"/>
      <c r="F135" s="67"/>
      <c r="G135" s="67"/>
      <c r="H135" s="67"/>
      <c r="I135" s="36">
        <f t="shared" si="1"/>
        <v>0</v>
      </c>
      <c r="J135" s="10"/>
      <c r="K135" s="10"/>
      <c r="L135" s="10"/>
      <c r="M135" s="70"/>
    </row>
    <row r="136" spans="1:13" ht="12.5">
      <c r="A136" s="150" t="s">
        <v>833</v>
      </c>
      <c r="B136" s="175" t="str">
        <f>HYPERLINK("http://codeforces.com/contest/131/problem/B","CF131-D2-B")</f>
        <v>CF131-D2-B</v>
      </c>
      <c r="C136" s="67"/>
      <c r="D136" s="67"/>
      <c r="E136" s="67"/>
      <c r="F136" s="67"/>
      <c r="G136" s="67"/>
      <c r="H136" s="67"/>
      <c r="I136" s="36">
        <f t="shared" si="1"/>
        <v>0</v>
      </c>
      <c r="J136" s="10"/>
      <c r="K136" s="10"/>
      <c r="L136" s="10"/>
      <c r="M136" s="70"/>
    </row>
    <row r="137" spans="1:13" ht="12.5">
      <c r="A137" s="56"/>
      <c r="B137" s="56"/>
      <c r="C137" s="67"/>
      <c r="D137" s="67"/>
      <c r="E137" s="67"/>
      <c r="F137" s="67"/>
      <c r="G137" s="67"/>
      <c r="H137" s="67"/>
      <c r="I137" s="36">
        <f t="shared" si="1"/>
        <v>0</v>
      </c>
      <c r="J137" s="36"/>
      <c r="K137" s="36"/>
      <c r="L137" s="67"/>
      <c r="M137" s="56"/>
    </row>
    <row r="138" spans="1:13" ht="12.5">
      <c r="A138" s="79" t="s">
        <v>834</v>
      </c>
      <c r="B138" s="117" t="str">
        <f>HYPERLINK("https://uva.onlinejudge.org/index.php?option=onlinejudge&amp;page=show_problem&amp;problem=1204","UVA 10263")</f>
        <v>UVA 10263</v>
      </c>
      <c r="C138" s="67"/>
      <c r="D138" s="67"/>
      <c r="E138" s="67"/>
      <c r="F138" s="67"/>
      <c r="G138" s="67"/>
      <c r="H138" s="67"/>
      <c r="I138" s="36">
        <f t="shared" si="1"/>
        <v>0</v>
      </c>
      <c r="J138" s="36"/>
      <c r="K138" s="36"/>
      <c r="L138" s="67"/>
      <c r="M138" s="59" t="str">
        <f>HYPERLINK("https://github.com/MohamedNabil97/CompetitiveProgramming/blob/master/UVA/10263.cpp","Sol")</f>
        <v>Sol</v>
      </c>
    </row>
    <row r="139" spans="1:13" ht="12.5">
      <c r="A139" s="79" t="s">
        <v>835</v>
      </c>
      <c r="B139" s="117" t="str">
        <f>HYPERLINK("https://uva.onlinejudge.org/index.php?option=com_onlinejudge&amp;Itemid=8&amp;page=show_problem&amp;problem=825","UVA 884")</f>
        <v>UVA 884</v>
      </c>
      <c r="C139" s="67"/>
      <c r="D139" s="67"/>
      <c r="E139" s="67"/>
      <c r="F139" s="67"/>
      <c r="G139" s="67"/>
      <c r="H139" s="67"/>
      <c r="I139" s="36">
        <f t="shared" si="1"/>
        <v>0</v>
      </c>
      <c r="J139" s="36"/>
      <c r="K139" s="36"/>
      <c r="L139" s="67"/>
      <c r="M139" s="56"/>
    </row>
    <row r="140" spans="1:13" ht="12.5">
      <c r="A140" s="79" t="s">
        <v>836</v>
      </c>
      <c r="B140" s="187" t="str">
        <f>HYPERLINK("https://uva.onlinejudge.org/index.php?option=onlinejudge&amp;page=show_problem&amp;problem=4601","UVA 12748")</f>
        <v>UVA 12748</v>
      </c>
      <c r="C140" s="67"/>
      <c r="D140" s="67"/>
      <c r="E140" s="67"/>
      <c r="F140" s="67"/>
      <c r="G140" s="67"/>
      <c r="H140" s="67"/>
      <c r="I140" s="36">
        <f t="shared" si="1"/>
        <v>0</v>
      </c>
      <c r="J140" s="36"/>
      <c r="K140" s="36"/>
      <c r="L140" s="67"/>
      <c r="M140" s="147" t="str">
        <f>HYPERLINK("https://github.com/MeGaCrazy/CompetitiveProgramming/blob/29ebad1d90e70a17ac4e646e5f049b980fb777de/UVA/UVA_12748.cpp","Sol")</f>
        <v>Sol</v>
      </c>
    </row>
    <row r="141" spans="1:13" ht="12.5">
      <c r="A141" s="79" t="s">
        <v>837</v>
      </c>
      <c r="B141" s="118" t="str">
        <f>HYPERLINK("https://uva.onlinejudge.org/index.php?option=com_onlinejudge&amp;Itemid=8&amp;page=show_problem&amp;problem=206","UVA 270")</f>
        <v>UVA 270</v>
      </c>
      <c r="C141" s="67"/>
      <c r="D141" s="67"/>
      <c r="E141" s="67"/>
      <c r="F141" s="67"/>
      <c r="G141" s="67"/>
      <c r="H141" s="67"/>
      <c r="I141" s="36">
        <f t="shared" si="1"/>
        <v>0</v>
      </c>
      <c r="J141" s="36"/>
      <c r="K141" s="36"/>
      <c r="L141" s="67"/>
      <c r="M141" s="188" t="str">
        <f>HYPERLINK("https://www.youtube.com/watch?v=EbB6g4GuNrQ","Video Solution - Eng Mohamed Nasser. Don't Code O(N^3)")</f>
        <v>Video Solution - Eng Mohamed Nasser. Don't Code O(N^3)</v>
      </c>
    </row>
    <row r="142" spans="1:13" ht="12.5">
      <c r="A142" s="79" t="s">
        <v>838</v>
      </c>
      <c r="B142" s="80" t="str">
        <f>HYPERLINK("http://www.spoj.com/problems/POUR1/","SPOJ POUR1")</f>
        <v>SPOJ POUR1</v>
      </c>
      <c r="C142" s="67"/>
      <c r="D142" s="67"/>
      <c r="E142" s="67"/>
      <c r="F142" s="67"/>
      <c r="G142" s="67"/>
      <c r="H142" s="67"/>
      <c r="I142" s="36">
        <f t="shared" si="1"/>
        <v>0</v>
      </c>
      <c r="J142" s="10"/>
      <c r="K142" s="10"/>
      <c r="L142" s="10"/>
      <c r="M142" s="116" t="str">
        <f>HYPERLINK("https://www.youtube.com/watch?v=dMacXPeTyak&amp;feature=youtu.be","Video Solution - Eng Moaz Rashad")</f>
        <v>Video Solution - Eng Moaz Rashad</v>
      </c>
    </row>
    <row r="143" spans="1:13" ht="12.5">
      <c r="A143" s="79"/>
      <c r="B143" s="80" t="str">
        <f>HYPERLINK("http://codeforces.com/contest/23/problem/C","CF23-D12-C")</f>
        <v>CF23-D12-C</v>
      </c>
      <c r="C143" s="67"/>
      <c r="D143" s="67"/>
      <c r="E143" s="67"/>
      <c r="F143" s="67"/>
      <c r="G143" s="67"/>
      <c r="H143" s="67"/>
      <c r="I143" s="36">
        <f t="shared" si="1"/>
        <v>0</v>
      </c>
      <c r="J143" s="10"/>
      <c r="K143" s="10"/>
      <c r="L143" s="10"/>
      <c r="M143" s="116"/>
    </row>
    <row r="144" spans="1:13" ht="12.5">
      <c r="A144" s="79"/>
      <c r="B144" s="80" t="str">
        <f>HYPERLINK("http://codeforces.com/problemset/problem/869/C","CF869-D2-C")</f>
        <v>CF869-D2-C</v>
      </c>
      <c r="C144" s="67"/>
      <c r="D144" s="67"/>
      <c r="E144" s="67"/>
      <c r="F144" s="67"/>
      <c r="G144" s="67"/>
      <c r="H144" s="67"/>
      <c r="I144" s="36">
        <f t="shared" si="1"/>
        <v>0</v>
      </c>
      <c r="J144" s="10"/>
      <c r="K144" s="10"/>
      <c r="L144" s="10"/>
      <c r="M144" s="116"/>
    </row>
    <row r="145" spans="1:13" ht="12.5">
      <c r="A145" s="79"/>
      <c r="B145" s="79" t="s">
        <v>839</v>
      </c>
      <c r="C145" s="67"/>
      <c r="D145" s="67"/>
      <c r="E145" s="67"/>
      <c r="F145" s="67"/>
      <c r="G145" s="67"/>
      <c r="H145" s="67"/>
      <c r="I145" s="36">
        <f t="shared" si="1"/>
        <v>0</v>
      </c>
      <c r="J145" s="10"/>
      <c r="K145" s="10"/>
      <c r="L145" s="10"/>
      <c r="M145" s="46" t="s">
        <v>840</v>
      </c>
    </row>
    <row r="146" spans="1:13" ht="12.5">
      <c r="A146" s="56"/>
      <c r="B146" s="56"/>
      <c r="C146" s="67"/>
      <c r="D146" s="67"/>
      <c r="E146" s="67"/>
      <c r="F146" s="67"/>
      <c r="G146" s="67"/>
      <c r="H146" s="67"/>
      <c r="I146" s="36">
        <f t="shared" si="1"/>
        <v>0</v>
      </c>
      <c r="J146" s="36"/>
      <c r="K146" s="36"/>
      <c r="L146" s="67"/>
    </row>
    <row r="147" spans="1:13" ht="13">
      <c r="A147" s="56"/>
      <c r="B147" s="56"/>
      <c r="C147" s="67"/>
      <c r="D147" s="67"/>
      <c r="E147" s="67"/>
      <c r="F147" s="67"/>
      <c r="G147" s="67"/>
      <c r="H147" s="67"/>
      <c r="I147" s="36">
        <f t="shared" si="1"/>
        <v>0</v>
      </c>
      <c r="J147" s="36"/>
      <c r="K147" s="36"/>
      <c r="L147" s="67"/>
      <c r="M147" s="119" t="str">
        <f>HYPERLINK("https://www.youtube.com/watch?v=j__Kredt7vY","Watch Video - Expected Value")</f>
        <v>Watch Video - Expected Value</v>
      </c>
    </row>
    <row r="148" spans="1:13" ht="12.5">
      <c r="A148" s="74" t="s">
        <v>841</v>
      </c>
      <c r="B148" s="168" t="str">
        <f>HYPERLINK("https://uva.onlinejudge.org/index.php?option=com_onlinejudge&amp;Itemid=8&amp;page=show_problem&amp;problem=1718","UVA 10777")</f>
        <v>UVA 10777</v>
      </c>
      <c r="C148" s="67"/>
      <c r="D148" s="67"/>
      <c r="E148" s="67"/>
      <c r="F148" s="67"/>
      <c r="G148" s="67"/>
      <c r="H148" s="67"/>
      <c r="I148" s="36">
        <f t="shared" si="1"/>
        <v>0</v>
      </c>
      <c r="J148" s="36"/>
      <c r="K148" s="36"/>
      <c r="L148" s="67"/>
      <c r="M148" s="147" t="str">
        <f>HYPERLINK("https://github.com/ilyesG/Competitive-Programming/blob/master/UVA/UVA%2010777.cpp","Sol")</f>
        <v>Sol</v>
      </c>
    </row>
    <row r="149" spans="1:13" ht="12.5">
      <c r="A149" s="74"/>
      <c r="B149" s="168" t="str">
        <f>HYPERLINK("http://codeforces.com/contest/839/problem/C","CF839-D2-C")</f>
        <v>CF839-D2-C</v>
      </c>
      <c r="C149" s="67"/>
      <c r="D149" s="67"/>
      <c r="E149" s="67"/>
      <c r="F149" s="67"/>
      <c r="G149" s="67"/>
      <c r="H149" s="67"/>
      <c r="I149" s="36">
        <f t="shared" si="1"/>
        <v>0</v>
      </c>
      <c r="J149" s="36"/>
      <c r="K149" s="36"/>
      <c r="L149" s="67"/>
      <c r="M149" s="56"/>
    </row>
    <row r="150" spans="1:13" ht="12.5">
      <c r="A150" s="74"/>
      <c r="B150" s="168" t="str">
        <f>HYPERLINK("http://codeforces.com/contest/454/problem/C","CF454-D2-C")</f>
        <v>CF454-D2-C</v>
      </c>
      <c r="C150" s="67"/>
      <c r="D150" s="67"/>
      <c r="E150" s="67"/>
      <c r="F150" s="67"/>
      <c r="G150" s="67"/>
      <c r="H150" s="67"/>
      <c r="I150" s="36">
        <f t="shared" si="1"/>
        <v>0</v>
      </c>
      <c r="J150" s="36"/>
      <c r="K150" s="36"/>
      <c r="L150" s="67"/>
      <c r="M150" s="56"/>
    </row>
    <row r="151" spans="1:13" ht="12.5">
      <c r="A151" s="74"/>
      <c r="B151" s="74" t="s">
        <v>842</v>
      </c>
      <c r="C151" s="67"/>
      <c r="D151" s="67"/>
      <c r="E151" s="67"/>
      <c r="F151" s="67"/>
      <c r="G151" s="67"/>
      <c r="H151" s="67"/>
      <c r="I151" s="36">
        <f t="shared" si="1"/>
        <v>0</v>
      </c>
      <c r="J151" s="36"/>
      <c r="K151" s="36"/>
      <c r="L151" s="67"/>
      <c r="M151" s="178" t="str">
        <f>HYPERLINK("https://apps.topcoder.com/wiki/display/tc/Algorithm+Problem+Set+Analysis","Editorial")</f>
        <v>Editorial</v>
      </c>
    </row>
    <row r="152" spans="1:13" ht="12.5">
      <c r="A152" s="74"/>
      <c r="B152" s="168" t="str">
        <f>HYPERLINK("https://www.hackerrank.com/challenges/lazy-sorting","HACKR lazy-sorting")</f>
        <v>HACKR lazy-sorting</v>
      </c>
      <c r="C152" s="67"/>
      <c r="D152" s="67"/>
      <c r="E152" s="67"/>
      <c r="F152" s="67"/>
      <c r="G152" s="67"/>
      <c r="H152" s="67"/>
      <c r="I152" s="36">
        <f t="shared" si="1"/>
        <v>0</v>
      </c>
      <c r="J152" s="36"/>
      <c r="K152" s="36"/>
      <c r="L152" s="67"/>
      <c r="M152" s="147" t="str">
        <f>HYPERLINK("https://www.youtube.com/watch?v=j__Kredt7vY","Revise Expected Value")</f>
        <v>Revise Expected Value</v>
      </c>
    </row>
    <row r="153" spans="1:13" ht="12.5">
      <c r="A153" s="79"/>
      <c r="B153" s="80" t="str">
        <f>HYPERLINK("http://www.spoj.com/problems/ALIENS/","SPOJ ALIENS")</f>
        <v>SPOJ ALIENS</v>
      </c>
      <c r="C153" s="67"/>
      <c r="D153" s="67"/>
      <c r="E153" s="67"/>
      <c r="F153" s="67"/>
      <c r="G153" s="67"/>
      <c r="H153" s="67"/>
      <c r="I153" s="36">
        <f t="shared" si="1"/>
        <v>0</v>
      </c>
      <c r="J153" s="36"/>
      <c r="K153" s="36"/>
      <c r="L153" s="67"/>
      <c r="M153" s="147" t="str">
        <f>HYPERLINK("https://github.com/mostafa-saad/MyCompetitiveProgramming/blob/master/SPOJ/SPOJ_ALIENS.txt","Sol - Practice on min enclosing circle")</f>
        <v>Sol - Practice on min enclosing circle</v>
      </c>
    </row>
    <row r="154" spans="1:13" ht="12.5">
      <c r="A154" s="79"/>
      <c r="B154" s="80" t="str">
        <f>HYPERLINK("http://codeforces.com/contest/340/problem/B","CF340-D2-B")</f>
        <v>CF340-D2-B</v>
      </c>
      <c r="C154" s="67"/>
      <c r="D154" s="67"/>
      <c r="E154" s="67"/>
      <c r="F154" s="67"/>
      <c r="G154" s="67"/>
      <c r="H154" s="67"/>
      <c r="I154" s="36">
        <f t="shared" si="1"/>
        <v>0</v>
      </c>
      <c r="J154" s="36"/>
      <c r="K154" s="36"/>
      <c r="L154" s="67"/>
      <c r="M154" s="56"/>
    </row>
    <row r="155" spans="1:13" ht="12.5">
      <c r="A155" s="142"/>
      <c r="B155" s="142"/>
      <c r="C155" s="144"/>
      <c r="D155" s="144"/>
      <c r="E155" s="144"/>
      <c r="F155" s="144"/>
      <c r="G155" s="144"/>
      <c r="H155" s="144"/>
      <c r="I155" s="144">
        <f>SUM(E155:G155)</f>
        <v>0</v>
      </c>
      <c r="J155" s="144"/>
      <c r="K155" s="144"/>
      <c r="L155" s="144"/>
      <c r="M155" s="142"/>
    </row>
    <row r="156" spans="1:13" ht="12.5">
      <c r="A156" s="56"/>
      <c r="B156" s="56"/>
      <c r="C156" s="67"/>
      <c r="D156" s="391" t="s">
        <v>275</v>
      </c>
      <c r="E156" s="365"/>
      <c r="F156" s="365"/>
      <c r="G156" s="365"/>
      <c r="H156" s="67"/>
      <c r="I156" s="67">
        <f>SUM(E156:G156)</f>
        <v>0</v>
      </c>
      <c r="J156" s="390" t="s">
        <v>276</v>
      </c>
      <c r="K156" s="365"/>
      <c r="L156" s="365"/>
      <c r="M156" s="365"/>
    </row>
    <row r="157" spans="1:13" ht="12.5">
      <c r="A157" s="142"/>
      <c r="B157" s="142"/>
      <c r="C157" s="144"/>
      <c r="D157" s="144"/>
      <c r="E157" s="144"/>
      <c r="F157" s="144"/>
      <c r="G157" s="144"/>
      <c r="H157" s="144"/>
      <c r="I157" s="144">
        <f>SUM(E157:G157)</f>
        <v>0</v>
      </c>
      <c r="J157" s="144"/>
      <c r="K157" s="144"/>
      <c r="L157" s="144"/>
      <c r="M157" s="142"/>
    </row>
    <row r="158" spans="1:13" ht="12.5">
      <c r="A158" s="46" t="s">
        <v>843</v>
      </c>
      <c r="B158" s="147" t="str">
        <f>HYPERLINK("http://codeforces.com/contest/427/problem/C","CF427-D2-C")</f>
        <v>CF427-D2-C</v>
      </c>
      <c r="C158" s="67"/>
      <c r="D158" s="67"/>
      <c r="E158" s="67"/>
      <c r="F158" s="67"/>
      <c r="G158" s="67"/>
      <c r="H158" s="67"/>
      <c r="I158" s="36">
        <f t="shared" ref="I158:I201" si="2">SUM(E158:H158)</f>
        <v>0</v>
      </c>
      <c r="J158" s="36"/>
      <c r="K158" s="36"/>
      <c r="L158" s="67"/>
      <c r="M158" s="56"/>
    </row>
    <row r="159" spans="1:13" ht="12.5">
      <c r="A159" s="46" t="s">
        <v>844</v>
      </c>
      <c r="B159" s="147" t="str">
        <f>HYPERLINK("http://codeforces.com/contest/139/problem/C","CF139-D2-C")</f>
        <v>CF139-D2-C</v>
      </c>
      <c r="C159" s="67"/>
      <c r="D159" s="67"/>
      <c r="E159" s="67"/>
      <c r="F159" s="67"/>
      <c r="G159" s="67"/>
      <c r="H159" s="67"/>
      <c r="I159" s="36">
        <f t="shared" si="2"/>
        <v>0</v>
      </c>
      <c r="J159" s="36"/>
      <c r="K159" s="36"/>
      <c r="L159" s="67"/>
      <c r="M159" s="56"/>
    </row>
    <row r="160" spans="1:13" ht="12.5">
      <c r="A160" s="46" t="s">
        <v>845</v>
      </c>
      <c r="B160" s="147" t="str">
        <f>HYPERLINK("http://codeforces.com/contest/742/problem/C","CF742-D2-C")</f>
        <v>CF742-D2-C</v>
      </c>
      <c r="C160" s="67"/>
      <c r="D160" s="67"/>
      <c r="E160" s="67"/>
      <c r="F160" s="67"/>
      <c r="G160" s="67"/>
      <c r="H160" s="67"/>
      <c r="I160" s="36">
        <f t="shared" si="2"/>
        <v>0</v>
      </c>
      <c r="J160" s="36"/>
      <c r="K160" s="36"/>
      <c r="L160" s="67"/>
      <c r="M160" s="56"/>
    </row>
    <row r="161" spans="1:13" ht="12.5">
      <c r="A161" s="46" t="s">
        <v>846</v>
      </c>
      <c r="B161" s="147" t="str">
        <f>HYPERLINK("http://codeforces.com/contest/298/problem/C","CF298-D2-C")</f>
        <v>CF298-D2-C</v>
      </c>
      <c r="C161" s="67"/>
      <c r="D161" s="67"/>
      <c r="E161" s="67"/>
      <c r="F161" s="67"/>
      <c r="G161" s="67"/>
      <c r="H161" s="67"/>
      <c r="I161" s="36">
        <f t="shared" si="2"/>
        <v>0</v>
      </c>
      <c r="J161" s="36"/>
      <c r="K161" s="36"/>
      <c r="L161" s="67"/>
      <c r="M161" s="56"/>
    </row>
    <row r="162" spans="1:13" ht="12.5">
      <c r="A162" s="46" t="s">
        <v>847</v>
      </c>
      <c r="B162" s="147" t="str">
        <f>HYPERLINK("http://codeforces.com/contest/246/problem/C","CF246-D2-C")</f>
        <v>CF246-D2-C</v>
      </c>
      <c r="C162" s="67"/>
      <c r="D162" s="67"/>
      <c r="E162" s="67"/>
      <c r="F162" s="67"/>
      <c r="G162" s="67"/>
      <c r="H162" s="67"/>
      <c r="I162" s="36">
        <f t="shared" si="2"/>
        <v>0</v>
      </c>
      <c r="J162" s="36"/>
      <c r="K162" s="36"/>
      <c r="L162" s="67"/>
      <c r="M162" s="56"/>
    </row>
    <row r="163" spans="1:13" ht="12.5">
      <c r="A163" s="46" t="s">
        <v>848</v>
      </c>
      <c r="B163" s="147" t="str">
        <f>HYPERLINK("http://codeforces.com/contest/80/problem/C","CF80-D2-C")</f>
        <v>CF80-D2-C</v>
      </c>
      <c r="C163" s="67"/>
      <c r="D163" s="67"/>
      <c r="E163" s="67"/>
      <c r="F163" s="67"/>
      <c r="G163" s="67"/>
      <c r="H163" s="67"/>
      <c r="I163" s="36">
        <f t="shared" si="2"/>
        <v>0</v>
      </c>
      <c r="J163" s="36"/>
      <c r="K163" s="36"/>
      <c r="L163" s="67"/>
      <c r="M163" s="56"/>
    </row>
    <row r="164" spans="1:13" ht="12.5">
      <c r="A164" s="46" t="s">
        <v>849</v>
      </c>
      <c r="B164" s="147" t="str">
        <f>HYPERLINK("http://codeforces.com/contest/192/problem/C","CF192-D2-C")</f>
        <v>CF192-D2-C</v>
      </c>
      <c r="C164" s="67"/>
      <c r="D164" s="67"/>
      <c r="E164" s="67"/>
      <c r="F164" s="67"/>
      <c r="G164" s="67"/>
      <c r="H164" s="67"/>
      <c r="I164" s="36">
        <f t="shared" si="2"/>
        <v>0</v>
      </c>
      <c r="J164" s="36"/>
      <c r="K164" s="36"/>
      <c r="L164" s="67"/>
      <c r="M164" s="56"/>
    </row>
    <row r="165" spans="1:13" ht="12.5">
      <c r="A165" s="46" t="s">
        <v>850</v>
      </c>
      <c r="B165" s="147" t="str">
        <f>HYPERLINK("http://codeforces.com/contest/106/problem/C","CF106-D2-C")</f>
        <v>CF106-D2-C</v>
      </c>
      <c r="C165" s="67"/>
      <c r="D165" s="67"/>
      <c r="E165" s="67"/>
      <c r="F165" s="67"/>
      <c r="G165" s="67"/>
      <c r="H165" s="67"/>
      <c r="I165" s="36">
        <f t="shared" si="2"/>
        <v>0</v>
      </c>
      <c r="J165" s="36"/>
      <c r="K165" s="36"/>
      <c r="L165" s="67"/>
      <c r="M165" s="56"/>
    </row>
    <row r="166" spans="1:13" ht="12.5">
      <c r="A166" s="46" t="s">
        <v>851</v>
      </c>
      <c r="B166" s="147" t="str">
        <f>HYPERLINK("http://codeforces.com/contest/373/problem/C","CF373-D2-C")</f>
        <v>CF373-D2-C</v>
      </c>
      <c r="C166" s="67"/>
      <c r="D166" s="67"/>
      <c r="E166" s="67"/>
      <c r="F166" s="67"/>
      <c r="G166" s="67"/>
      <c r="H166" s="67"/>
      <c r="I166" s="36">
        <f t="shared" si="2"/>
        <v>0</v>
      </c>
      <c r="J166" s="36"/>
      <c r="K166" s="36"/>
      <c r="L166" s="67"/>
      <c r="M166" s="56"/>
    </row>
    <row r="167" spans="1:13" ht="12.5">
      <c r="A167" s="46" t="s">
        <v>852</v>
      </c>
      <c r="B167" s="147" t="str">
        <f>HYPERLINK("http://codeforces.com/contest/56/problem/C","CF56-D2-C")</f>
        <v>CF56-D2-C</v>
      </c>
      <c r="C167" s="67"/>
      <c r="D167" s="67"/>
      <c r="E167" s="67"/>
      <c r="F167" s="67"/>
      <c r="G167" s="67"/>
      <c r="H167" s="67"/>
      <c r="I167" s="36">
        <f t="shared" si="2"/>
        <v>0</v>
      </c>
      <c r="J167" s="36"/>
      <c r="K167" s="36"/>
      <c r="L167" s="67"/>
      <c r="M167" s="56"/>
    </row>
    <row r="168" spans="1:13" ht="12.5">
      <c r="A168" s="56" t="s">
        <v>853</v>
      </c>
      <c r="B168" s="87" t="str">
        <f>HYPERLINK("http://codeforces.com/contest/365/problem/C","CF365-D2-C")</f>
        <v>CF365-D2-C</v>
      </c>
      <c r="C168" s="10"/>
      <c r="D168" s="10"/>
      <c r="E168" s="10"/>
      <c r="F168" s="10"/>
      <c r="G168" s="10"/>
      <c r="H168" s="10"/>
      <c r="I168" s="67">
        <f t="shared" si="2"/>
        <v>0</v>
      </c>
      <c r="J168" s="10"/>
      <c r="K168" s="10"/>
      <c r="L168" s="10"/>
      <c r="M168" s="10"/>
    </row>
    <row r="169" spans="1:13" ht="12.5">
      <c r="A169" s="189" t="s">
        <v>854</v>
      </c>
      <c r="B169" s="190" t="str">
        <f>HYPERLINK("https://uva.onlinejudge.org/index.php?option=com_onlinejudge&amp;Itemid=8&amp;page=show_problem&amp;problem=2733","UVA 11686")</f>
        <v>UVA 11686</v>
      </c>
      <c r="C169" s="10"/>
      <c r="D169" s="10"/>
      <c r="E169" s="10"/>
      <c r="F169" s="10"/>
      <c r="G169" s="10"/>
      <c r="H169" s="10"/>
      <c r="I169" s="67">
        <f t="shared" si="2"/>
        <v>0</v>
      </c>
      <c r="J169" s="10"/>
      <c r="K169" s="10"/>
      <c r="L169" s="10"/>
      <c r="M169" s="87" t="str">
        <f>HYPERLINK("https://github.com/VAMPIER000001/CompetitiveProgramming/blob/master/UVA/V-116/UVA%2011686.Cpp","Sol")</f>
        <v>Sol</v>
      </c>
    </row>
    <row r="170" spans="1:13" ht="12.5">
      <c r="A170" s="46"/>
      <c r="B170" s="46"/>
      <c r="C170" s="67"/>
      <c r="D170" s="67"/>
      <c r="E170" s="67"/>
      <c r="F170" s="67"/>
      <c r="G170" s="67"/>
      <c r="H170" s="67"/>
      <c r="I170" s="36">
        <f t="shared" si="2"/>
        <v>0</v>
      </c>
      <c r="J170" s="36"/>
      <c r="K170" s="36"/>
      <c r="L170" s="67"/>
      <c r="M170" s="56"/>
    </row>
    <row r="171" spans="1:13" ht="12.5">
      <c r="A171" s="46" t="s">
        <v>855</v>
      </c>
      <c r="B171" s="147" t="str">
        <f>HYPERLINK("http://codeforces.com/contest/205/problem/C","CF205-D2-C")</f>
        <v>CF205-D2-C</v>
      </c>
      <c r="C171" s="67"/>
      <c r="D171" s="67"/>
      <c r="E171" s="67"/>
      <c r="F171" s="67"/>
      <c r="G171" s="67"/>
      <c r="H171" s="67"/>
      <c r="I171" s="36">
        <f t="shared" si="2"/>
        <v>0</v>
      </c>
      <c r="J171" s="36"/>
      <c r="K171" s="36"/>
      <c r="L171" s="67"/>
      <c r="M171" s="56"/>
    </row>
    <row r="172" spans="1:13" ht="12.5">
      <c r="A172" s="46" t="s">
        <v>856</v>
      </c>
      <c r="B172" s="147" t="str">
        <f>HYPERLINK("http://codeforces.com/contest/315/problem/C","CF315-D2-C")</f>
        <v>CF315-D2-C</v>
      </c>
      <c r="C172" s="67"/>
      <c r="D172" s="67"/>
      <c r="E172" s="67"/>
      <c r="F172" s="67"/>
      <c r="G172" s="67"/>
      <c r="H172" s="67"/>
      <c r="I172" s="36">
        <f t="shared" si="2"/>
        <v>0</v>
      </c>
      <c r="J172" s="36"/>
      <c r="K172" s="36"/>
      <c r="L172" s="67"/>
      <c r="M172" s="56"/>
    </row>
    <row r="173" spans="1:13" ht="12.5">
      <c r="A173" s="46" t="s">
        <v>857</v>
      </c>
      <c r="B173" s="147" t="str">
        <f>HYPERLINK("http://codeforces.com/contest/355/problem/C","CF355-D2-C")</f>
        <v>CF355-D2-C</v>
      </c>
      <c r="C173" s="67"/>
      <c r="D173" s="67"/>
      <c r="E173" s="67"/>
      <c r="F173" s="67"/>
      <c r="G173" s="67"/>
      <c r="H173" s="67"/>
      <c r="I173" s="36">
        <f t="shared" si="2"/>
        <v>0</v>
      </c>
      <c r="J173" s="36"/>
      <c r="K173" s="36"/>
      <c r="L173" s="67"/>
      <c r="M173" s="56"/>
    </row>
    <row r="174" spans="1:13" ht="12.5">
      <c r="A174" s="46" t="s">
        <v>858</v>
      </c>
      <c r="B174" s="147" t="str">
        <f>HYPERLINK("http://codeforces.com/contest/96/problem/C","CF96-D2-C")</f>
        <v>CF96-D2-C</v>
      </c>
      <c r="C174" s="67"/>
      <c r="D174" s="67"/>
      <c r="E174" s="67"/>
      <c r="F174" s="67"/>
      <c r="G174" s="67"/>
      <c r="H174" s="67"/>
      <c r="I174" s="36">
        <f t="shared" si="2"/>
        <v>0</v>
      </c>
      <c r="J174" s="36"/>
      <c r="K174" s="36"/>
      <c r="L174" s="67"/>
      <c r="M174" s="56"/>
    </row>
    <row r="175" spans="1:13" ht="12.5">
      <c r="A175" s="46" t="s">
        <v>859</v>
      </c>
      <c r="B175" s="147" t="str">
        <f>HYPERLINK("http://codeforces.com/contest/66/problem/C","CF66-D2-C")</f>
        <v>CF66-D2-C</v>
      </c>
      <c r="C175" s="67"/>
      <c r="D175" s="67"/>
      <c r="E175" s="67"/>
      <c r="F175" s="67"/>
      <c r="G175" s="67"/>
      <c r="H175" s="67"/>
      <c r="I175" s="36">
        <f t="shared" si="2"/>
        <v>0</v>
      </c>
      <c r="J175" s="36"/>
      <c r="K175" s="36"/>
      <c r="L175" s="67"/>
      <c r="M175" s="56"/>
    </row>
    <row r="176" spans="1:13" ht="12.5">
      <c r="A176" s="46" t="s">
        <v>860</v>
      </c>
      <c r="B176" s="147" t="str">
        <f>HYPERLINK("http://codeforces.com/contest/554/problem/C","CF554-D2-C")</f>
        <v>CF554-D2-C</v>
      </c>
      <c r="C176" s="67"/>
      <c r="D176" s="67"/>
      <c r="E176" s="67"/>
      <c r="F176" s="67"/>
      <c r="G176" s="67"/>
      <c r="H176" s="67"/>
      <c r="I176" s="36">
        <f t="shared" si="2"/>
        <v>0</v>
      </c>
      <c r="J176" s="36"/>
      <c r="K176" s="36"/>
      <c r="L176" s="67"/>
      <c r="M176" s="56"/>
    </row>
    <row r="177" spans="1:13" ht="12.5">
      <c r="A177" s="46" t="s">
        <v>861</v>
      </c>
      <c r="B177" s="147" t="str">
        <f>HYPERLINK("http://codeforces.com/contest/467/problem/C","CF467-D2-C")</f>
        <v>CF467-D2-C</v>
      </c>
      <c r="C177" s="67"/>
      <c r="D177" s="67"/>
      <c r="E177" s="67"/>
      <c r="F177" s="67"/>
      <c r="G177" s="67"/>
      <c r="H177" s="67"/>
      <c r="I177" s="36">
        <f t="shared" si="2"/>
        <v>0</v>
      </c>
      <c r="J177" s="36"/>
      <c r="K177" s="36"/>
      <c r="L177" s="67"/>
      <c r="M177" s="56"/>
    </row>
    <row r="178" spans="1:13" ht="12.5">
      <c r="A178" s="46" t="s">
        <v>862</v>
      </c>
      <c r="B178" s="147" t="str">
        <f>HYPERLINK("http://codeforces.com/contest/610/problem/C","CF610-D2-C")</f>
        <v>CF610-D2-C</v>
      </c>
      <c r="C178" s="67"/>
      <c r="D178" s="67"/>
      <c r="E178" s="67"/>
      <c r="F178" s="67"/>
      <c r="G178" s="67"/>
      <c r="H178" s="67"/>
      <c r="I178" s="36">
        <f t="shared" si="2"/>
        <v>0</v>
      </c>
      <c r="J178" s="36"/>
      <c r="K178" s="36"/>
      <c r="L178" s="67"/>
      <c r="M178" s="56"/>
    </row>
    <row r="179" spans="1:13" ht="12.5">
      <c r="A179" s="46" t="s">
        <v>863</v>
      </c>
      <c r="B179" s="147" t="str">
        <f>HYPERLINK("http://codeforces.com/contest/734/problem/C","CF734-D2-C")</f>
        <v>CF734-D2-C</v>
      </c>
      <c r="C179" s="67"/>
      <c r="D179" s="67"/>
      <c r="E179" s="67"/>
      <c r="F179" s="67"/>
      <c r="G179" s="67"/>
      <c r="H179" s="67"/>
      <c r="I179" s="36">
        <f t="shared" si="2"/>
        <v>0</v>
      </c>
      <c r="J179" s="36"/>
      <c r="K179" s="36"/>
      <c r="L179" s="67"/>
      <c r="M179" s="56"/>
    </row>
    <row r="180" spans="1:13" ht="12.5">
      <c r="A180" s="46" t="s">
        <v>864</v>
      </c>
      <c r="B180" s="147" t="str">
        <f>HYPERLINK("http://codeforces.com/contest/478/problem/C","CF478-D2-C")</f>
        <v>CF478-D2-C</v>
      </c>
      <c r="C180" s="67"/>
      <c r="D180" s="67"/>
      <c r="E180" s="67"/>
      <c r="F180" s="67"/>
      <c r="G180" s="67"/>
      <c r="H180" s="67"/>
      <c r="I180" s="36">
        <f t="shared" si="2"/>
        <v>0</v>
      </c>
      <c r="J180" s="36"/>
      <c r="K180" s="36"/>
      <c r="L180" s="67"/>
      <c r="M180" s="56"/>
    </row>
    <row r="181" spans="1:13" ht="12.5">
      <c r="A181" s="56" t="s">
        <v>865</v>
      </c>
      <c r="B181" s="87" t="str">
        <f>HYPERLINK("http://codeforces.com/contest/672/problem/C","CF672-D2-C")</f>
        <v>CF672-D2-C</v>
      </c>
      <c r="C181" s="10"/>
      <c r="D181" s="10"/>
      <c r="E181" s="10"/>
      <c r="F181" s="10"/>
      <c r="G181" s="10"/>
      <c r="H181" s="10"/>
      <c r="I181" s="67">
        <f t="shared" si="2"/>
        <v>0</v>
      </c>
      <c r="J181" s="10"/>
      <c r="K181" s="10"/>
      <c r="L181" s="10"/>
      <c r="M181" s="10"/>
    </row>
    <row r="182" spans="1:13" ht="12.5">
      <c r="A182" s="46"/>
      <c r="B182" s="46"/>
      <c r="C182" s="67"/>
      <c r="D182" s="67"/>
      <c r="E182" s="67"/>
      <c r="F182" s="67"/>
      <c r="G182" s="67"/>
      <c r="H182" s="67"/>
      <c r="I182" s="36">
        <f t="shared" si="2"/>
        <v>0</v>
      </c>
      <c r="J182" s="36"/>
      <c r="K182" s="36"/>
      <c r="L182" s="67"/>
      <c r="M182" s="56"/>
    </row>
    <row r="183" spans="1:13" ht="12.5">
      <c r="A183" s="46" t="s">
        <v>866</v>
      </c>
      <c r="B183" s="147" t="str">
        <f>HYPERLINK("http://codeforces.com/contest/157/problem/C","CF157-D2-C")</f>
        <v>CF157-D2-C</v>
      </c>
      <c r="C183" s="67"/>
      <c r="D183" s="67"/>
      <c r="E183" s="67"/>
      <c r="F183" s="67"/>
      <c r="G183" s="67"/>
      <c r="H183" s="67"/>
      <c r="I183" s="36">
        <f t="shared" si="2"/>
        <v>0</v>
      </c>
      <c r="J183" s="36"/>
      <c r="K183" s="36"/>
      <c r="L183" s="67"/>
      <c r="M183" s="56"/>
    </row>
    <row r="184" spans="1:13" ht="12.5">
      <c r="A184" s="46" t="s">
        <v>867</v>
      </c>
      <c r="B184" s="147" t="str">
        <f>HYPERLINK("http://codeforces.com/contest/596/problem/C","CF596-D2-C")</f>
        <v>CF596-D2-C</v>
      </c>
      <c r="C184" s="67"/>
      <c r="D184" s="67"/>
      <c r="E184" s="67"/>
      <c r="F184" s="67"/>
      <c r="G184" s="67"/>
      <c r="H184" s="67"/>
      <c r="I184" s="36">
        <f t="shared" si="2"/>
        <v>0</v>
      </c>
      <c r="J184" s="36"/>
      <c r="K184" s="36"/>
      <c r="L184" s="67"/>
      <c r="M184" s="56"/>
    </row>
    <row r="185" spans="1:13" ht="12.5">
      <c r="A185" s="46" t="s">
        <v>868</v>
      </c>
      <c r="B185" s="147" t="str">
        <f>HYPERLINK("http://codeforces.com/contest/284/problem/C","CF284-D2-C")</f>
        <v>CF284-D2-C</v>
      </c>
      <c r="C185" s="67"/>
      <c r="D185" s="67"/>
      <c r="E185" s="67"/>
      <c r="F185" s="67"/>
      <c r="G185" s="67"/>
      <c r="H185" s="67"/>
      <c r="I185" s="36">
        <f t="shared" si="2"/>
        <v>0</v>
      </c>
      <c r="J185" s="36"/>
      <c r="K185" s="36"/>
      <c r="L185" s="67"/>
      <c r="M185" s="56"/>
    </row>
    <row r="186" spans="1:13" ht="12.5">
      <c r="A186" s="46" t="s">
        <v>869</v>
      </c>
      <c r="B186" s="147" t="str">
        <f>HYPERLINK("http://codeforces.com/contest/279/problem/C","CF279-D2-C")</f>
        <v>CF279-D2-C</v>
      </c>
      <c r="C186" s="67"/>
      <c r="D186" s="67"/>
      <c r="E186" s="67"/>
      <c r="F186" s="67"/>
      <c r="G186" s="67"/>
      <c r="H186" s="67"/>
      <c r="I186" s="36">
        <f t="shared" si="2"/>
        <v>0</v>
      </c>
      <c r="J186" s="36"/>
      <c r="K186" s="36"/>
      <c r="L186" s="67"/>
      <c r="M186" s="56"/>
    </row>
    <row r="187" spans="1:13" ht="12.5">
      <c r="A187" s="46" t="s">
        <v>870</v>
      </c>
      <c r="B187" s="147" t="str">
        <f>HYPERLINK("http://codeforces.com/contest/239/problem/C","CF239-D2-C")</f>
        <v>CF239-D2-C</v>
      </c>
      <c r="C187" s="67"/>
      <c r="D187" s="67"/>
      <c r="E187" s="67"/>
      <c r="F187" s="67"/>
      <c r="G187" s="67"/>
      <c r="H187" s="67"/>
      <c r="I187" s="36">
        <f t="shared" si="2"/>
        <v>0</v>
      </c>
      <c r="J187" s="36"/>
      <c r="K187" s="36"/>
      <c r="L187" s="67"/>
      <c r="M187" s="56"/>
    </row>
    <row r="188" spans="1:13" ht="12.5">
      <c r="A188" s="46" t="s">
        <v>871</v>
      </c>
      <c r="B188" s="147" t="str">
        <f>HYPERLINK("http://codeforces.com/contest/254/problem/C","CF254-D2-C")</f>
        <v>CF254-D2-C</v>
      </c>
      <c r="C188" s="67"/>
      <c r="D188" s="67"/>
      <c r="E188" s="67"/>
      <c r="F188" s="67"/>
      <c r="G188" s="67"/>
      <c r="H188" s="67"/>
      <c r="I188" s="36">
        <f t="shared" si="2"/>
        <v>0</v>
      </c>
      <c r="J188" s="36"/>
      <c r="K188" s="36"/>
      <c r="L188" s="67"/>
      <c r="M188" s="56"/>
    </row>
    <row r="189" spans="1:13" ht="12.5">
      <c r="A189" s="46" t="s">
        <v>872</v>
      </c>
      <c r="B189" s="147" t="str">
        <f>HYPERLINK("http://codeforces.com/contest/447/problem/C","CF447-D2-C")</f>
        <v>CF447-D2-C</v>
      </c>
      <c r="C189" s="67"/>
      <c r="D189" s="67"/>
      <c r="E189" s="67"/>
      <c r="F189" s="67"/>
      <c r="G189" s="67"/>
      <c r="H189" s="67"/>
      <c r="I189" s="36">
        <f t="shared" si="2"/>
        <v>0</v>
      </c>
      <c r="J189" s="36"/>
      <c r="K189" s="36"/>
      <c r="L189" s="67"/>
      <c r="M189" s="56"/>
    </row>
    <row r="190" spans="1:13" ht="12.5">
      <c r="A190" s="46" t="s">
        <v>873</v>
      </c>
      <c r="B190" s="147" t="str">
        <f>HYPERLINK("http://codeforces.com/contest/445/problem/C","CF445-D2-C")</f>
        <v>CF445-D2-C</v>
      </c>
      <c r="C190" s="67"/>
      <c r="D190" s="67"/>
      <c r="E190" s="67"/>
      <c r="F190" s="67"/>
      <c r="G190" s="67"/>
      <c r="H190" s="67"/>
      <c r="I190" s="36">
        <f t="shared" si="2"/>
        <v>0</v>
      </c>
      <c r="J190" s="36"/>
      <c r="K190" s="36"/>
      <c r="L190" s="67"/>
      <c r="M190" s="56"/>
    </row>
    <row r="191" spans="1:13" ht="12.5">
      <c r="A191" s="46" t="s">
        <v>874</v>
      </c>
      <c r="B191" s="147" t="str">
        <f>HYPERLINK("http://codeforces.com/contest/501/problem/C","CF501-D2-C")</f>
        <v>CF501-D2-C</v>
      </c>
      <c r="C191" s="67"/>
      <c r="D191" s="67"/>
      <c r="E191" s="67"/>
      <c r="F191" s="67"/>
      <c r="G191" s="67"/>
      <c r="H191" s="67"/>
      <c r="I191" s="36">
        <f t="shared" si="2"/>
        <v>0</v>
      </c>
      <c r="J191" s="36"/>
      <c r="K191" s="36"/>
      <c r="L191" s="67"/>
      <c r="M191" s="56"/>
    </row>
    <row r="192" spans="1:13" ht="12.5">
      <c r="A192" s="46" t="s">
        <v>875</v>
      </c>
      <c r="B192" s="147" t="str">
        <f>HYPERLINK("http://codeforces.com/contest/450/problem/C","CF450-D2-C")</f>
        <v>CF450-D2-C</v>
      </c>
      <c r="C192" s="67"/>
      <c r="D192" s="67"/>
      <c r="E192" s="67"/>
      <c r="F192" s="67"/>
      <c r="G192" s="67"/>
      <c r="H192" s="67"/>
      <c r="I192" s="36">
        <f t="shared" si="2"/>
        <v>0</v>
      </c>
      <c r="J192" s="36"/>
      <c r="K192" s="36"/>
      <c r="L192" s="67"/>
      <c r="M192" s="56"/>
    </row>
    <row r="193" spans="1:13" ht="12.5">
      <c r="A193" s="46" t="s">
        <v>876</v>
      </c>
      <c r="B193" s="169" t="str">
        <f>HYPERLINK("http://codeforces.com/contest/670/problem/C","CF670-D2-C")</f>
        <v>CF670-D2-C</v>
      </c>
      <c r="C193" s="10"/>
      <c r="D193" s="10"/>
      <c r="E193" s="10"/>
      <c r="F193" s="10"/>
      <c r="G193" s="10"/>
      <c r="H193" s="10"/>
      <c r="I193" s="67">
        <f t="shared" si="2"/>
        <v>0</v>
      </c>
      <c r="J193" s="10"/>
      <c r="K193" s="10"/>
      <c r="L193" s="10"/>
      <c r="M193" s="10"/>
    </row>
    <row r="194" spans="1:13" ht="12.5">
      <c r="A194" s="46"/>
      <c r="B194" s="46"/>
      <c r="C194" s="67"/>
      <c r="D194" s="67"/>
      <c r="E194" s="67"/>
      <c r="F194" s="67"/>
      <c r="G194" s="67"/>
      <c r="H194" s="67"/>
      <c r="I194" s="36">
        <f t="shared" si="2"/>
        <v>0</v>
      </c>
      <c r="J194" s="36"/>
      <c r="K194" s="36"/>
      <c r="L194" s="67"/>
      <c r="M194" s="56"/>
    </row>
    <row r="195" spans="1:13" ht="12.5">
      <c r="A195" s="46" t="s">
        <v>877</v>
      </c>
      <c r="B195" s="147" t="str">
        <f>HYPERLINK("http://codeforces.com/contest/631/problem/C","CF631-D2-C")</f>
        <v>CF631-D2-C</v>
      </c>
      <c r="C195" s="67"/>
      <c r="D195" s="67"/>
      <c r="E195" s="67"/>
      <c r="F195" s="67"/>
      <c r="G195" s="67"/>
      <c r="H195" s="67"/>
      <c r="I195" s="36">
        <f t="shared" si="2"/>
        <v>0</v>
      </c>
      <c r="J195" s="36"/>
      <c r="K195" s="36"/>
      <c r="L195" s="67"/>
      <c r="M195" s="56"/>
    </row>
    <row r="196" spans="1:13" ht="12.5">
      <c r="A196" s="46" t="s">
        <v>878</v>
      </c>
      <c r="B196" s="147" t="str">
        <f>HYPERLINK("http://codeforces.com/contest/385/problem/C","CF385-D2-C")</f>
        <v>CF385-D2-C</v>
      </c>
      <c r="C196" s="67"/>
      <c r="D196" s="67"/>
      <c r="E196" s="67"/>
      <c r="F196" s="67"/>
      <c r="G196" s="67"/>
      <c r="H196" s="67"/>
      <c r="I196" s="36">
        <f t="shared" si="2"/>
        <v>0</v>
      </c>
      <c r="J196" s="36"/>
      <c r="K196" s="36"/>
      <c r="L196" s="67"/>
      <c r="M196" s="56"/>
    </row>
    <row r="197" spans="1:13" ht="12.5">
      <c r="A197" s="46" t="s">
        <v>879</v>
      </c>
      <c r="B197" s="147" t="str">
        <f>HYPERLINK("http://codeforces.com/contest/90/problem/C","CF90-D2-C")</f>
        <v>CF90-D2-C</v>
      </c>
      <c r="C197" s="67"/>
      <c r="D197" s="67"/>
      <c r="E197" s="67"/>
      <c r="F197" s="67"/>
      <c r="G197" s="67"/>
      <c r="H197" s="67"/>
      <c r="I197" s="36">
        <f t="shared" si="2"/>
        <v>0</v>
      </c>
      <c r="J197" s="36"/>
      <c r="K197" s="36"/>
      <c r="L197" s="67"/>
      <c r="M197" s="56"/>
    </row>
    <row r="198" spans="1:13" ht="12.5">
      <c r="A198" s="46" t="s">
        <v>880</v>
      </c>
      <c r="B198" s="147" t="str">
        <f>HYPERLINK("http://codeforces.com/contest/493/problem/C","CF493-D2-C")</f>
        <v>CF493-D2-C</v>
      </c>
      <c r="C198" s="67"/>
      <c r="D198" s="67"/>
      <c r="E198" s="67"/>
      <c r="F198" s="67"/>
      <c r="G198" s="67"/>
      <c r="H198" s="67"/>
      <c r="I198" s="36">
        <f t="shared" si="2"/>
        <v>0</v>
      </c>
      <c r="J198" s="36"/>
      <c r="K198" s="36"/>
      <c r="L198" s="67"/>
      <c r="M198" s="56"/>
    </row>
    <row r="199" spans="1:13" ht="12.5">
      <c r="A199" s="46" t="s">
        <v>881</v>
      </c>
      <c r="B199" s="147" t="str">
        <f>HYPERLINK("http://codeforces.com/contest/552/problem/C","CF552-D2-C")</f>
        <v>CF552-D2-C</v>
      </c>
      <c r="C199" s="67"/>
      <c r="D199" s="67"/>
      <c r="E199" s="67"/>
      <c r="F199" s="67"/>
      <c r="G199" s="67"/>
      <c r="H199" s="67"/>
      <c r="I199" s="36">
        <f t="shared" si="2"/>
        <v>0</v>
      </c>
      <c r="J199" s="36"/>
      <c r="K199" s="36"/>
      <c r="L199" s="67"/>
      <c r="M199" s="56"/>
    </row>
    <row r="200" spans="1:13" ht="12.5">
      <c r="A200" s="46" t="s">
        <v>882</v>
      </c>
      <c r="B200" s="147" t="str">
        <f>HYPERLINK("http://codeforces.com/contest/459/problem/C","CF459-D2-C")</f>
        <v>CF459-D2-C</v>
      </c>
      <c r="C200" s="67"/>
      <c r="D200" s="67"/>
      <c r="E200" s="67"/>
      <c r="F200" s="67"/>
      <c r="G200" s="67"/>
      <c r="H200" s="67"/>
      <c r="I200" s="36">
        <f t="shared" si="2"/>
        <v>0</v>
      </c>
      <c r="J200" s="36"/>
      <c r="K200" s="36"/>
      <c r="L200" s="67"/>
      <c r="M200" s="56"/>
    </row>
    <row r="201" spans="1:13" ht="12.5">
      <c r="A201" s="56" t="s">
        <v>883</v>
      </c>
      <c r="B201" s="87" t="str">
        <f>HYPERLINK("http://codeforces.com/contest/118/problem/C","CF118-D2-C")</f>
        <v>CF118-D2-C</v>
      </c>
      <c r="C201" s="10"/>
      <c r="D201" s="10"/>
      <c r="E201" s="10"/>
      <c r="F201" s="10"/>
      <c r="G201" s="10"/>
      <c r="H201" s="10"/>
      <c r="I201" s="67">
        <f t="shared" si="2"/>
        <v>0</v>
      </c>
      <c r="J201" s="10"/>
      <c r="K201" s="10"/>
      <c r="L201" s="10"/>
      <c r="M201" s="10"/>
    </row>
  </sheetData>
  <mergeCells count="2">
    <mergeCell ref="D156:G156"/>
    <mergeCell ref="J156:M156"/>
  </mergeCells>
  <conditionalFormatting sqref="C3:C201">
    <cfRule type="cellIs" dxfId="51" priority="4" operator="equal">
      <formula>"AC"</formula>
    </cfRule>
    <cfRule type="containsText" dxfId="50" priority="5" operator="containsText" text="WA">
      <formula>NOT(ISERROR(SEARCH(("WA"),(C3))))</formula>
    </cfRule>
    <cfRule type="containsText" dxfId="49" priority="7" operator="containsText" text="TLE">
      <formula>NOT(ISERROR(SEARCH(("TLE"),(C3))))</formula>
    </cfRule>
    <cfRule type="containsText" dxfId="48" priority="9" operator="containsText" text="RTE">
      <formula>NOT(ISERROR(SEARCH(("RTE"),(C3))))</formula>
    </cfRule>
    <cfRule type="containsText" dxfId="47" priority="11" operator="containsText" text="CS">
      <formula>NOT(ISERROR(SEARCH(("CS"),(C3))))</formula>
    </cfRule>
  </conditionalFormatting>
  <conditionalFormatting sqref="K3:K154 K158:K201">
    <cfRule type="cellIs" dxfId="46" priority="1" operator="equal">
      <formula>"No"</formula>
    </cfRule>
    <cfRule type="cellIs" dxfId="45" priority="2" operator="equal">
      <formula>"no"</formula>
    </cfRule>
    <cfRule type="cellIs" dxfId="44" priority="3" operator="equal">
      <formula>"NO"</formula>
    </cfRule>
  </conditionalFormatting>
  <hyperlinks>
    <hyperlink ref="M11" r:id="rId1" xr:uid="{00000000-0004-0000-0500-000000000000}"/>
    <hyperlink ref="M36" r:id="rId2" xr:uid="{00000000-0004-0000-0500-000001000000}"/>
    <hyperlink ref="B58" r:id="rId3" xr:uid="{00000000-0004-0000-0500-000002000000}"/>
    <hyperlink ref="B65" r:id="rId4" xr:uid="{00000000-0004-0000-0500-000003000000}"/>
    <hyperlink ref="M109" r:id="rId5" xr:uid="{00000000-0004-0000-0500-000004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M160"/>
  <sheetViews>
    <sheetView workbookViewId="0">
      <pane xSplit="2" ySplit="2" topLeftCell="C106" activePane="bottomRight" state="frozen"/>
      <selection pane="topRight" activeCell="C1" sqref="C1"/>
      <selection pane="bottomLeft" activeCell="A3" sqref="A3"/>
      <selection pane="bottomRight" activeCell="C3" sqref="C3"/>
    </sheetView>
  </sheetViews>
  <sheetFormatPr defaultColWidth="15.1796875" defaultRowHeight="15.75" customHeight="1"/>
  <cols>
    <col min="1" max="1" width="14.7265625" customWidth="1"/>
    <col min="2" max="2" width="17.453125" customWidth="1"/>
    <col min="3" max="3" width="6" customWidth="1"/>
    <col min="4" max="4" width="6.54296875" customWidth="1"/>
    <col min="5" max="5" width="7.453125" customWidth="1"/>
    <col min="6" max="6" width="7.54296875" customWidth="1"/>
    <col min="7" max="7" width="8.7265625" customWidth="1"/>
    <col min="8" max="9" width="7.453125" customWidth="1"/>
    <col min="10" max="12" width="8.7265625" customWidth="1"/>
    <col min="13" max="13" width="61.54296875" customWidth="1"/>
  </cols>
  <sheetData>
    <row r="1" spans="1:13" ht="25">
      <c r="A1" s="108" t="s">
        <v>146</v>
      </c>
      <c r="B1" s="33" t="s">
        <v>147</v>
      </c>
      <c r="C1" s="32" t="s">
        <v>148</v>
      </c>
      <c r="D1" s="32" t="s">
        <v>149</v>
      </c>
      <c r="E1" s="32" t="s">
        <v>150</v>
      </c>
      <c r="F1" s="32" t="s">
        <v>151</v>
      </c>
      <c r="G1" s="32" t="s">
        <v>152</v>
      </c>
      <c r="H1" s="32" t="s">
        <v>153</v>
      </c>
      <c r="I1" s="32" t="s">
        <v>154</v>
      </c>
      <c r="J1" s="32" t="s">
        <v>155</v>
      </c>
      <c r="K1" s="32" t="s">
        <v>156</v>
      </c>
      <c r="L1" s="32" t="s">
        <v>157</v>
      </c>
      <c r="M1" s="34" t="s">
        <v>158</v>
      </c>
    </row>
    <row r="2" spans="1:13" ht="13">
      <c r="A2" s="109"/>
      <c r="B2" s="10" t="s">
        <v>159</v>
      </c>
      <c r="C2" s="37">
        <f>COUNTIF(C23:C10545, "AC")</f>
        <v>0</v>
      </c>
      <c r="D2" s="37" t="e">
        <f ca="1">ROUND(SUMPRODUCT(D23:D10545,INT(EQ(C23:C10545, "AC")))/MAX(1, C2),1)</f>
        <v>#NAME?</v>
      </c>
      <c r="E2" s="37" t="e">
        <f ca="1">ROUND(SUMPRODUCT(E23:E10567,INT(EQ(C23:C10567, "AC")))/MAX(1, C2),0)</f>
        <v>#NAME?</v>
      </c>
      <c r="F2" s="37" t="e">
        <f ca="1">ROUND(SUMPRODUCT(F23:F10570,INT(EQ(C23:C10570, "AC")))/MAX(1, C2),0)</f>
        <v>#NAME?</v>
      </c>
      <c r="G2" s="37" t="e">
        <f ca="1">ROUND(SUMPRODUCT(G23:G10570,INT(EQ(C23:C10570, "AC")))/MAX(1, C2),0)</f>
        <v>#NAME?</v>
      </c>
      <c r="H2" s="37" t="e">
        <f ca="1">ROUND(SUMPRODUCT(H23:H10570,INT(EQ(C23:C10570, "AC")))/MAX(1, C2),0)</f>
        <v>#NAME?</v>
      </c>
      <c r="I2" s="37" t="e">
        <f ca="1">ROUND(SUMPRODUCT(I23:I10542,INT(EQ(C23:C10542, "AC")))/MAX(1, C2),0)</f>
        <v>#NAME?</v>
      </c>
      <c r="J2" s="37" t="e">
        <f ca="1">ROUND(SUMPRODUCT(J23:J10540,INT(EQ(C23:C10540, "AC")))/MAX(1, C2),1)</f>
        <v>#NAME?</v>
      </c>
      <c r="K2" s="37" t="e">
        <f ca="1">SUMPRODUCT(EQ(K23:K10545, "YES"),INT(EQ(C23:C10570, "AC")))</f>
        <v>#NAME?</v>
      </c>
      <c r="L2" s="38">
        <f ca="1">IFERROR(__xludf.DUMMYFUNCTION("COUNTA(FILTER(C23:C10037, NOT(REGEXMATCH(C23:C10037, ""AC""))))"),0)</f>
        <v>0</v>
      </c>
      <c r="M2" s="39">
        <f ca="1">IFERROR(__xludf.DUMMYFUNCTION("COUNTA(FILTER(C23:C10031, NOT(REGEXMATCH(C23:C10031, ""AC""))))"),0)</f>
        <v>0</v>
      </c>
    </row>
    <row r="3" spans="1:13" ht="12.5">
      <c r="A3" s="56" t="s">
        <v>884</v>
      </c>
      <c r="B3" s="131" t="str">
        <f>HYPERLINK("http://codeforces.com/contest/63/problem/D","CF63-D2-D")</f>
        <v>CF63-D2-D</v>
      </c>
      <c r="C3" s="10"/>
      <c r="D3" s="191"/>
      <c r="E3" s="191"/>
      <c r="F3" s="10"/>
      <c r="G3" s="10"/>
      <c r="H3" s="10"/>
      <c r="I3" s="67">
        <f t="shared" ref="I3:I160" si="0">SUM(E3:H3)</f>
        <v>0</v>
      </c>
      <c r="J3" s="10"/>
      <c r="K3" s="10"/>
      <c r="L3" s="10"/>
      <c r="M3" s="10"/>
    </row>
    <row r="4" spans="1:13" ht="12.5">
      <c r="A4" s="56" t="s">
        <v>885</v>
      </c>
      <c r="B4" s="131" t="str">
        <f>HYPERLINK("http://codeforces.com/contest/474/problem/D","CF474-D2-D")</f>
        <v>CF474-D2-D</v>
      </c>
      <c r="C4" s="10"/>
      <c r="D4" s="191"/>
      <c r="E4" s="191"/>
      <c r="F4" s="10"/>
      <c r="G4" s="10"/>
      <c r="H4" s="10"/>
      <c r="I4" s="67">
        <f t="shared" si="0"/>
        <v>0</v>
      </c>
      <c r="J4" s="10"/>
      <c r="K4" s="10"/>
      <c r="L4" s="10"/>
      <c r="M4" s="70" t="str">
        <f>HYPERLINK("https://www.youtube.com/watch?v=uRCruqJOQXw","Video Solution - Solver to be (Java)")</f>
        <v>Video Solution - Solver to be (Java)</v>
      </c>
    </row>
    <row r="5" spans="1:13" ht="12.5">
      <c r="A5" s="56" t="s">
        <v>886</v>
      </c>
      <c r="B5" s="131" t="str">
        <f>HYPERLINK("http://codeforces.com/contest/400/problem/D","CF400-D2-D")</f>
        <v>CF400-D2-D</v>
      </c>
      <c r="C5" s="10"/>
      <c r="D5" s="191"/>
      <c r="E5" s="191"/>
      <c r="F5" s="10"/>
      <c r="G5" s="10"/>
      <c r="H5" s="10"/>
      <c r="I5" s="67">
        <f t="shared" si="0"/>
        <v>0</v>
      </c>
      <c r="J5" s="10"/>
      <c r="K5" s="10"/>
      <c r="L5" s="10"/>
      <c r="M5" s="56"/>
    </row>
    <row r="6" spans="1:13" ht="12.5">
      <c r="A6" s="56"/>
      <c r="B6" s="131" t="str">
        <f>HYPERLINK("http://codeforces.com/contest/1043/problem/C","CF1043-D12-C")</f>
        <v>CF1043-D12-C</v>
      </c>
      <c r="C6" s="10"/>
      <c r="D6" s="191"/>
      <c r="E6" s="191"/>
      <c r="F6" s="10"/>
      <c r="G6" s="10"/>
      <c r="H6" s="10"/>
      <c r="I6" s="67">
        <f t="shared" si="0"/>
        <v>0</v>
      </c>
      <c r="J6" s="10"/>
      <c r="K6" s="10"/>
      <c r="L6" s="10"/>
      <c r="M6" s="56"/>
    </row>
    <row r="7" spans="1:13" ht="12.5">
      <c r="A7" s="56"/>
      <c r="B7" s="131" t="str">
        <f>HYPERLINK("https://codeforces.com/contest/1033/problem/C","CF1033-D12-C")</f>
        <v>CF1033-D12-C</v>
      </c>
      <c r="C7" s="10"/>
      <c r="D7" s="191"/>
      <c r="E7" s="191"/>
      <c r="F7" s="10"/>
      <c r="G7" s="10"/>
      <c r="H7" s="10"/>
      <c r="I7" s="67">
        <f t="shared" si="0"/>
        <v>0</v>
      </c>
      <c r="J7" s="10"/>
      <c r="K7" s="10"/>
      <c r="L7" s="10"/>
      <c r="M7" s="56"/>
    </row>
    <row r="8" spans="1:13" ht="12.5">
      <c r="A8" s="56"/>
      <c r="B8" s="131" t="str">
        <f>HYPERLINK("https://codeforces.com/contest/1066/problem/E","CF1066-D3-E")</f>
        <v>CF1066-D3-E</v>
      </c>
      <c r="C8" s="10"/>
      <c r="D8" s="191"/>
      <c r="E8" s="191"/>
      <c r="F8" s="10"/>
      <c r="G8" s="10"/>
      <c r="H8" s="10"/>
      <c r="I8" s="67">
        <f t="shared" si="0"/>
        <v>0</v>
      </c>
      <c r="J8" s="10"/>
      <c r="K8" s="10"/>
      <c r="L8" s="10"/>
      <c r="M8" s="56"/>
    </row>
    <row r="9" spans="1:13" ht="12.5">
      <c r="A9" s="56"/>
      <c r="B9" s="131" t="str">
        <f>HYPERLINK("http://codeforces.com/contest/534/problem/D","CF534-D2-D")</f>
        <v>CF534-D2-D</v>
      </c>
      <c r="C9" s="10"/>
      <c r="D9" s="191"/>
      <c r="E9" s="191"/>
      <c r="F9" s="10"/>
      <c r="G9" s="10"/>
      <c r="H9" s="10"/>
      <c r="I9" s="67">
        <f t="shared" si="0"/>
        <v>0</v>
      </c>
      <c r="J9" s="10"/>
      <c r="K9" s="10"/>
      <c r="L9" s="10"/>
      <c r="M9" s="56"/>
    </row>
    <row r="10" spans="1:13" ht="12.5">
      <c r="A10" s="56"/>
      <c r="B10" s="131" t="str">
        <f>HYPERLINK("http://codeforces.com/problemset/problem/899/E","CF899-D2-E")</f>
        <v>CF899-D2-E</v>
      </c>
      <c r="C10" s="10"/>
      <c r="D10" s="191"/>
      <c r="E10" s="191"/>
      <c r="F10" s="10"/>
      <c r="G10" s="10"/>
      <c r="H10" s="10"/>
      <c r="I10" s="67">
        <f t="shared" si="0"/>
        <v>0</v>
      </c>
      <c r="J10" s="10"/>
      <c r="K10" s="10"/>
      <c r="L10" s="10"/>
      <c r="M10" s="56"/>
    </row>
    <row r="11" spans="1:13" ht="12.5">
      <c r="A11" s="56"/>
      <c r="B11" s="131" t="str">
        <f>HYPERLINK("http://codeforces.com/contest/729/problem/D","CF729-D12-D")</f>
        <v>CF729-D12-D</v>
      </c>
      <c r="C11" s="10"/>
      <c r="D11" s="191"/>
      <c r="E11" s="191"/>
      <c r="F11" s="10"/>
      <c r="G11" s="10"/>
      <c r="H11" s="10"/>
      <c r="I11" s="67">
        <f t="shared" si="0"/>
        <v>0</v>
      </c>
      <c r="J11" s="10"/>
      <c r="K11" s="10"/>
      <c r="L11" s="10"/>
      <c r="M11" s="56"/>
    </row>
    <row r="12" spans="1:13" ht="12.5">
      <c r="A12" s="150" t="s">
        <v>887</v>
      </c>
      <c r="B12" s="192" t="str">
        <f>HYPERLINK("http://codeforces.com/contest/340/problem/C","CF340-D2-C")</f>
        <v>CF340-D2-C</v>
      </c>
      <c r="C12" s="10"/>
      <c r="D12" s="191"/>
      <c r="E12" s="191"/>
      <c r="F12" s="10"/>
      <c r="G12" s="10"/>
      <c r="H12" s="10"/>
      <c r="I12" s="67">
        <f t="shared" si="0"/>
        <v>0</v>
      </c>
      <c r="J12" s="10"/>
      <c r="K12" s="10"/>
      <c r="L12" s="10"/>
      <c r="M12" s="56"/>
    </row>
    <row r="13" spans="1:13" ht="12.5">
      <c r="A13" s="150" t="s">
        <v>888</v>
      </c>
      <c r="B13" s="192" t="str">
        <f>HYPERLINK("http://codeforces.com/contest/697/problem/C","CF697-D2-C")</f>
        <v>CF697-D2-C</v>
      </c>
      <c r="C13" s="10"/>
      <c r="D13" s="191"/>
      <c r="E13" s="191"/>
      <c r="F13" s="10"/>
      <c r="G13" s="10"/>
      <c r="H13" s="10"/>
      <c r="I13" s="67">
        <f t="shared" si="0"/>
        <v>0</v>
      </c>
      <c r="J13" s="10"/>
      <c r="K13" s="10"/>
      <c r="L13" s="10"/>
      <c r="M13" s="56"/>
    </row>
    <row r="14" spans="1:13" ht="12.5">
      <c r="A14" s="150" t="s">
        <v>889</v>
      </c>
      <c r="B14" s="192" t="str">
        <f>HYPERLINK("http://codeforces.com/contest/404/problem/C","CF404-D2-C")</f>
        <v>CF404-D2-C</v>
      </c>
      <c r="C14" s="10"/>
      <c r="D14" s="191"/>
      <c r="E14" s="191"/>
      <c r="F14" s="10"/>
      <c r="G14" s="10"/>
      <c r="H14" s="10"/>
      <c r="I14" s="67">
        <f t="shared" si="0"/>
        <v>0</v>
      </c>
      <c r="J14" s="10"/>
      <c r="K14" s="10"/>
      <c r="L14" s="10"/>
      <c r="M14" s="56"/>
    </row>
    <row r="15" spans="1:13" ht="13">
      <c r="A15" s="189"/>
      <c r="B15" s="193" t="str">
        <f>HYPERLINK("http://codeforces.com/contest/309/problem/C","CF309-D1-C")</f>
        <v>CF309-D1-C</v>
      </c>
      <c r="C15" s="10"/>
      <c r="D15" s="191"/>
      <c r="E15" s="191"/>
      <c r="F15" s="10"/>
      <c r="G15" s="10"/>
      <c r="H15" s="10"/>
      <c r="I15" s="67">
        <f t="shared" si="0"/>
        <v>0</v>
      </c>
      <c r="J15" s="36"/>
      <c r="K15" s="36"/>
      <c r="L15" s="10"/>
      <c r="M15" s="194"/>
    </row>
    <row r="16" spans="1:13" ht="12.5">
      <c r="A16" s="79"/>
      <c r="B16" s="195" t="str">
        <f>HYPERLINK("http://codeforces.com/contest/101/problem/B","CF101-D1-B")</f>
        <v>CF101-D1-B</v>
      </c>
      <c r="C16" s="10"/>
      <c r="D16" s="191"/>
      <c r="E16" s="191"/>
      <c r="F16" s="10"/>
      <c r="G16" s="10"/>
      <c r="H16" s="10"/>
      <c r="I16" s="67">
        <f t="shared" si="0"/>
        <v>0</v>
      </c>
      <c r="J16" s="36"/>
      <c r="K16" s="36"/>
      <c r="L16" s="10"/>
      <c r="M16" s="147" t="str">
        <f>HYPERLINK("https://github.com/Huvok/CompetitiveProgramming/blob/master/Codeforces/CF101-D1-B.cpp","Sol")</f>
        <v>Sol</v>
      </c>
    </row>
    <row r="17" spans="1:13" ht="12.5">
      <c r="A17" s="79"/>
      <c r="B17" s="79" t="s">
        <v>890</v>
      </c>
      <c r="C17" s="10"/>
      <c r="D17" s="191"/>
      <c r="E17" s="191"/>
      <c r="F17" s="10"/>
      <c r="G17" s="10"/>
      <c r="H17" s="10"/>
      <c r="I17" s="67">
        <f t="shared" si="0"/>
        <v>0</v>
      </c>
      <c r="J17" s="36"/>
      <c r="K17" s="36"/>
      <c r="L17" s="10"/>
      <c r="M17" s="46"/>
    </row>
    <row r="18" spans="1:13" ht="12.5">
      <c r="A18" s="79"/>
      <c r="B18" s="195" t="str">
        <f>HYPERLINK("http://codeforces.com/problemset/problem/961/D","CF961-D12-D")</f>
        <v>CF961-D12-D</v>
      </c>
      <c r="C18" s="10"/>
      <c r="D18" s="191"/>
      <c r="E18" s="191"/>
      <c r="F18" s="10"/>
      <c r="G18" s="10"/>
      <c r="H18" s="10"/>
      <c r="I18" s="67">
        <f t="shared" si="0"/>
        <v>0</v>
      </c>
      <c r="J18" s="36"/>
      <c r="K18" s="36"/>
      <c r="L18" s="10"/>
      <c r="M18" s="46"/>
    </row>
    <row r="19" spans="1:13" ht="12.5">
      <c r="A19" s="79"/>
      <c r="B19" s="195" t="str">
        <f>HYPERLINK("http://codeforces.com/problemset/problem/955/C","CF955-D2-C")</f>
        <v>CF955-D2-C</v>
      </c>
      <c r="C19" s="10"/>
      <c r="D19" s="191"/>
      <c r="E19" s="191"/>
      <c r="F19" s="10"/>
      <c r="G19" s="10"/>
      <c r="H19" s="10"/>
      <c r="I19" s="67">
        <f t="shared" si="0"/>
        <v>0</v>
      </c>
      <c r="J19" s="36"/>
      <c r="K19" s="36"/>
      <c r="L19" s="10"/>
      <c r="M19" s="46"/>
    </row>
    <row r="20" spans="1:13" ht="12.5">
      <c r="A20" s="79"/>
      <c r="B20" s="79" t="s">
        <v>891</v>
      </c>
      <c r="C20" s="10"/>
      <c r="D20" s="191"/>
      <c r="E20" s="191"/>
      <c r="F20" s="10"/>
      <c r="G20" s="10"/>
      <c r="H20" s="10"/>
      <c r="I20" s="67">
        <f t="shared" si="0"/>
        <v>0</v>
      </c>
      <c r="J20" s="36"/>
      <c r="K20" s="36"/>
      <c r="L20" s="10"/>
      <c r="M20" s="147" t="str">
        <f>HYPERLINK("https://pastebin.com/WHzEMUew","Sol")</f>
        <v>Sol</v>
      </c>
    </row>
    <row r="21" spans="1:13" ht="12.5">
      <c r="A21" s="79"/>
      <c r="B21" s="195" t="str">
        <f>HYPERLINK("http://codeforces.com/contest/372/problem/B","CF372-D1-B")</f>
        <v>CF372-D1-B</v>
      </c>
      <c r="C21" s="10"/>
      <c r="D21" s="191"/>
      <c r="E21" s="191"/>
      <c r="F21" s="10"/>
      <c r="G21" s="10"/>
      <c r="H21" s="10"/>
      <c r="I21" s="67">
        <f t="shared" si="0"/>
        <v>0</v>
      </c>
      <c r="J21" s="36"/>
      <c r="K21" s="36"/>
      <c r="L21" s="10"/>
      <c r="M21" s="46"/>
    </row>
    <row r="22" spans="1:13" ht="13">
      <c r="A22" s="56"/>
      <c r="B22" s="10"/>
      <c r="C22" s="10"/>
      <c r="D22" s="191"/>
      <c r="E22" s="191"/>
      <c r="F22" s="10"/>
      <c r="G22" s="10"/>
      <c r="H22" s="10"/>
      <c r="I22" s="67">
        <f t="shared" si="0"/>
        <v>0</v>
      </c>
      <c r="J22" s="36"/>
      <c r="K22" s="36"/>
      <c r="L22" s="10"/>
      <c r="M22" s="194" t="str">
        <f>HYPERLINK("https://www.youtube.com/watch?v=OLu5oskGGqw&amp;list=PLPt2dINI2MIZX2EtY81WI-lDkvhKziLKM&amp;index=11","Watch - Data Structures - Segment Tree (2 vid)")</f>
        <v>Watch - Data Structures - Segment Tree (2 vid)</v>
      </c>
    </row>
    <row r="23" spans="1:13" ht="12.5">
      <c r="A23" s="196" t="s">
        <v>892</v>
      </c>
      <c r="B23" s="197" t="str">
        <f>HYPERLINK("https://uva.onlinejudge.org/index.php?option=com_onlinejudge&amp;Itemid=8&amp;page=show_problem&amp;problem=3977","UVA 12532")</f>
        <v>UVA 12532</v>
      </c>
      <c r="C23" s="10"/>
      <c r="D23" s="191"/>
      <c r="E23" s="191"/>
      <c r="F23" s="10"/>
      <c r="G23" s="10"/>
      <c r="H23" s="10"/>
      <c r="I23" s="67">
        <f t="shared" si="0"/>
        <v>0</v>
      </c>
      <c r="J23" s="36"/>
      <c r="K23" s="36"/>
      <c r="L23" s="10"/>
      <c r="M23" s="56"/>
    </row>
    <row r="24" spans="1:13" ht="12.5">
      <c r="A24" s="198" t="s">
        <v>893</v>
      </c>
      <c r="B24" s="199" t="str">
        <f>HYPERLINK("https://icpcarchive.ecs.baylor.edu/index.php?option=com_onlinejudge&amp;Itemid=8&amp;page=show_problem&amp;problem=192","LIVEARCHIVE 2191")</f>
        <v>LIVEARCHIVE 2191</v>
      </c>
      <c r="C24" s="10"/>
      <c r="D24" s="191"/>
      <c r="E24" s="191"/>
      <c r="F24" s="10"/>
      <c r="G24" s="10"/>
      <c r="H24" s="10"/>
      <c r="I24" s="67">
        <f t="shared" si="0"/>
        <v>0</v>
      </c>
      <c r="J24" s="36"/>
      <c r="K24" s="36"/>
      <c r="L24" s="10"/>
      <c r="M24" s="56"/>
    </row>
    <row r="25" spans="1:13" ht="12.5">
      <c r="A25" s="200" t="s">
        <v>894</v>
      </c>
      <c r="B25" s="199" t="str">
        <f>HYPERLINK("http://www.spoj.com/problems/CDC12_H","SPOJ CDC12_H")</f>
        <v>SPOJ CDC12_H</v>
      </c>
      <c r="C25" s="10"/>
      <c r="D25" s="191"/>
      <c r="E25" s="191"/>
      <c r="F25" s="10"/>
      <c r="G25" s="10"/>
      <c r="H25" s="10"/>
      <c r="I25" s="67">
        <f t="shared" si="0"/>
        <v>0</v>
      </c>
      <c r="J25" s="10"/>
      <c r="K25" s="10"/>
      <c r="L25" s="10"/>
      <c r="M25" s="10"/>
    </row>
    <row r="26" spans="1:13" ht="12.5">
      <c r="A26" s="198" t="s">
        <v>895</v>
      </c>
      <c r="B26" s="199" t="str">
        <f>HYPERLINK("http://www.spoj.com/problems/CNTPRIME","SPOJ CNTPRIME")</f>
        <v>SPOJ CNTPRIME</v>
      </c>
      <c r="C26" s="10"/>
      <c r="D26" s="191"/>
      <c r="E26" s="191"/>
      <c r="F26" s="10"/>
      <c r="G26" s="10"/>
      <c r="H26" s="10"/>
      <c r="I26" s="67">
        <f t="shared" si="0"/>
        <v>0</v>
      </c>
      <c r="J26" s="10"/>
      <c r="K26" s="10"/>
      <c r="L26" s="10"/>
      <c r="M26" s="10"/>
    </row>
    <row r="27" spans="1:13" ht="12.5">
      <c r="A27" s="198" t="s">
        <v>896</v>
      </c>
      <c r="B27" s="199" t="str">
        <f>HYPERLINK("http://www.spoj.com/problems/HORRIBLE","SPOJ HORRIBLE")</f>
        <v>SPOJ HORRIBLE</v>
      </c>
      <c r="C27" s="10"/>
      <c r="D27" s="191"/>
      <c r="E27" s="191"/>
      <c r="F27" s="10"/>
      <c r="G27" s="10"/>
      <c r="H27" s="10"/>
      <c r="I27" s="67">
        <f t="shared" si="0"/>
        <v>0</v>
      </c>
      <c r="J27" s="10"/>
      <c r="K27" s="10"/>
      <c r="L27" s="10"/>
      <c r="M27" s="10"/>
    </row>
    <row r="28" spans="1:13" ht="12.5">
      <c r="A28" s="198" t="s">
        <v>897</v>
      </c>
      <c r="B28" s="199" t="str">
        <f>HYPERLINK("http://www.spoj.com/problems/LITE/","SPOJ LITE")</f>
        <v>SPOJ LITE</v>
      </c>
      <c r="C28" s="10"/>
      <c r="D28" s="191"/>
      <c r="E28" s="191"/>
      <c r="F28" s="10"/>
      <c r="G28" s="10"/>
      <c r="H28" s="10"/>
      <c r="I28" s="67">
        <f t="shared" si="0"/>
        <v>0</v>
      </c>
      <c r="J28" s="36"/>
      <c r="K28" s="36"/>
      <c r="L28" s="10"/>
      <c r="M28" s="56"/>
    </row>
    <row r="29" spans="1:13" ht="12.5">
      <c r="A29" s="198" t="s">
        <v>898</v>
      </c>
      <c r="B29" s="201" t="str">
        <f>HYPERLINK("http://codeforces.com/contest/52/problem/C","CF52-D12-C")</f>
        <v>CF52-D12-C</v>
      </c>
      <c r="C29" s="10"/>
      <c r="D29" s="191"/>
      <c r="E29" s="191"/>
      <c r="F29" s="10"/>
      <c r="G29" s="10"/>
      <c r="H29" s="10"/>
      <c r="I29" s="67">
        <f t="shared" si="0"/>
        <v>0</v>
      </c>
      <c r="J29" s="10"/>
      <c r="K29" s="10"/>
      <c r="L29" s="10"/>
      <c r="M29" s="46"/>
    </row>
    <row r="30" spans="1:13" ht="12.5">
      <c r="A30" s="198" t="s">
        <v>899</v>
      </c>
      <c r="B30" s="199" t="str">
        <f>HYPERLINK("http://www.spoj.com/problems/CITY2/","SPOJ CITY2")</f>
        <v>SPOJ CITY2</v>
      </c>
      <c r="C30" s="10"/>
      <c r="D30" s="191"/>
      <c r="E30" s="191"/>
      <c r="F30" s="10"/>
      <c r="G30" s="10"/>
      <c r="H30" s="10"/>
      <c r="I30" s="67">
        <f t="shared" si="0"/>
        <v>0</v>
      </c>
      <c r="J30" s="36"/>
      <c r="K30" s="36"/>
      <c r="M30" s="147" t="str">
        <f>HYPERLINK("https://github.com/mostafa-saad/MyCompetitiveProgramming/blob/master/SPOJ/SPOJ_CITY2.txt","Sol")</f>
        <v>Sol</v>
      </c>
    </row>
    <row r="31" spans="1:13" ht="12.5">
      <c r="A31" s="196" t="s">
        <v>900</v>
      </c>
      <c r="B31" s="199" t="str">
        <f>HYPERLINK("https://uva.onlinejudge.org/index.php?option=com_onlinejudge&amp;Itemid=8&amp;page=show_problem&amp;problem=3720","UVA 12299")</f>
        <v>UVA 12299</v>
      </c>
      <c r="C31" s="10"/>
      <c r="D31" s="191"/>
      <c r="E31" s="191"/>
      <c r="F31" s="10"/>
      <c r="G31" s="10"/>
      <c r="H31" s="10"/>
      <c r="I31" s="67">
        <f t="shared" si="0"/>
        <v>0</v>
      </c>
      <c r="J31" s="36"/>
      <c r="K31" s="36"/>
      <c r="M31" s="147" t="str">
        <f>HYPERLINK("https://github.com/Emsawy/CompetitiveProgramming/blob/master/UVA/12299.cpp","See sscanf and sprintf usage")</f>
        <v>See sscanf and sprintf usage</v>
      </c>
    </row>
    <row r="32" spans="1:13" ht="16.5" customHeight="1">
      <c r="A32" s="196" t="s">
        <v>901</v>
      </c>
      <c r="B32" s="197" t="str">
        <f>HYPERLINK("http://codeforces.com/problemset/problem/514/D","CF514-D2-D")</f>
        <v>CF514-D2-D</v>
      </c>
      <c r="C32" s="10"/>
      <c r="D32" s="191"/>
      <c r="E32" s="191"/>
      <c r="F32" s="10"/>
      <c r="G32" s="10"/>
      <c r="H32" s="10"/>
      <c r="I32" s="67">
        <f t="shared" si="0"/>
        <v>0</v>
      </c>
      <c r="L32" s="10"/>
      <c r="M32" s="46" t="s">
        <v>902</v>
      </c>
    </row>
    <row r="33" spans="1:13" ht="12.5">
      <c r="A33" s="196" t="s">
        <v>903</v>
      </c>
      <c r="B33" s="202" t="str">
        <f>HYPERLINK("https://uva.onlinejudge.org/index.php?option=com_onlinejudge&amp;Itemid=8&amp;page=show_problem&amp;problem=2397","UVA 11402")</f>
        <v>UVA 11402</v>
      </c>
      <c r="C33" s="10"/>
      <c r="D33" s="191"/>
      <c r="E33" s="191"/>
      <c r="F33" s="10"/>
      <c r="G33" s="10"/>
      <c r="H33" s="10"/>
      <c r="I33" s="67">
        <f t="shared" si="0"/>
        <v>0</v>
      </c>
      <c r="J33" s="10"/>
      <c r="K33" s="10"/>
      <c r="L33" s="10"/>
      <c r="M33" s="147" t="str">
        <f>HYPERLINK("https://github.com/hosamk92/CompetitiveProgramming/blob/master/UVA/UVA%2011402.cpp","Sol")</f>
        <v>Sol</v>
      </c>
    </row>
    <row r="34" spans="1:13" ht="12.5">
      <c r="A34" s="179" t="s">
        <v>904</v>
      </c>
      <c r="B34" s="203" t="str">
        <f>HYPERLINK("http://www.spoj.com/problems/BRCKTS","SPOJ BRCKTS")</f>
        <v>SPOJ BRCKTS</v>
      </c>
      <c r="C34" s="10"/>
      <c r="D34" s="191"/>
      <c r="E34" s="191"/>
      <c r="F34" s="10"/>
      <c r="G34" s="10"/>
      <c r="H34" s="10"/>
      <c r="I34" s="67">
        <f t="shared" si="0"/>
        <v>0</v>
      </c>
      <c r="J34" s="10"/>
      <c r="K34" s="10"/>
      <c r="L34" s="10"/>
      <c r="M34" s="147" t="str">
        <f>HYPERLINK("https://github.com/AliOsm/CompetitiveProgramming/blob/master/SPOJ/BRCKTS%20-%20Brackets.cpp","Sol")</f>
        <v>Sol</v>
      </c>
    </row>
    <row r="35" spans="1:13" ht="12.5">
      <c r="A35" s="196" t="s">
        <v>905</v>
      </c>
      <c r="B35" s="202" t="str">
        <f>HYPERLINK("http://codeforces.com/contest/460/problem/C","CF460-D2-C")</f>
        <v>CF460-D2-C</v>
      </c>
      <c r="C35" s="10"/>
      <c r="D35" s="191"/>
      <c r="E35" s="191"/>
      <c r="F35" s="10"/>
      <c r="G35" s="10"/>
      <c r="H35" s="10"/>
      <c r="I35" s="67">
        <f t="shared" si="0"/>
        <v>0</v>
      </c>
      <c r="J35" s="10"/>
      <c r="K35" s="10"/>
      <c r="L35" s="10"/>
      <c r="M35" s="46"/>
    </row>
    <row r="36" spans="1:13" ht="12.5">
      <c r="A36" s="204" t="str">
        <f>HYPERLINK("https://community.topcoder.com/stat?c=problem_statement&amp;pm=1331&amp;rd=4550","MessageMess")</f>
        <v>MessageMess</v>
      </c>
      <c r="B36" s="205" t="s">
        <v>629</v>
      </c>
      <c r="C36" s="10"/>
      <c r="D36" s="191"/>
      <c r="E36" s="191"/>
      <c r="F36" s="10"/>
      <c r="G36" s="10"/>
      <c r="H36" s="10"/>
      <c r="I36" s="67">
        <f t="shared" si="0"/>
        <v>0</v>
      </c>
      <c r="J36" s="10"/>
      <c r="K36" s="10"/>
      <c r="L36" s="10"/>
      <c r="M36" s="46"/>
    </row>
    <row r="37" spans="1:13" ht="12.5">
      <c r="A37" s="193" t="str">
        <f>HYPERLINK("https://community.topcoder.com/stat?c=problem_statement&amp;pm=7601&amp;rd=10673","DiceGames")</f>
        <v>DiceGames</v>
      </c>
      <c r="B37" s="206" t="s">
        <v>796</v>
      </c>
      <c r="C37" s="10"/>
      <c r="D37" s="191"/>
      <c r="E37" s="191"/>
      <c r="F37" s="10"/>
      <c r="G37" s="10"/>
      <c r="H37" s="10"/>
      <c r="I37" s="67">
        <f t="shared" si="0"/>
        <v>0</v>
      </c>
      <c r="J37" s="10"/>
      <c r="K37" s="10"/>
      <c r="L37" s="10"/>
      <c r="M37" s="46"/>
    </row>
    <row r="38" spans="1:13" ht="12.5">
      <c r="A38" s="189" t="s">
        <v>906</v>
      </c>
      <c r="B38" s="207" t="str">
        <f>HYPERLINK("https://uva.onlinejudge.org/index.php?option=com_onlinejudge&amp;Itemid=8&amp;page=show_problem&amp;problem=407","UVA 466")</f>
        <v>UVA 466</v>
      </c>
      <c r="C38" s="10"/>
      <c r="D38" s="191"/>
      <c r="E38" s="191"/>
      <c r="F38" s="10"/>
      <c r="G38" s="10"/>
      <c r="H38" s="10"/>
      <c r="I38" s="67">
        <f t="shared" si="0"/>
        <v>0</v>
      </c>
      <c r="J38" s="10"/>
      <c r="K38" s="10"/>
      <c r="L38" s="10"/>
      <c r="M38" s="46"/>
    </row>
    <row r="39" spans="1:13" ht="12.5">
      <c r="A39" s="79" t="s">
        <v>907</v>
      </c>
      <c r="B39" s="208" t="str">
        <f>HYPERLINK("http://www.spoj.com/problems/KGSS/","SPOJ KGSS")</f>
        <v>SPOJ KGSS</v>
      </c>
      <c r="C39" s="10"/>
      <c r="D39" s="191"/>
      <c r="E39" s="191"/>
      <c r="F39" s="10"/>
      <c r="G39" s="10"/>
      <c r="H39" s="10"/>
      <c r="I39" s="67">
        <f t="shared" si="0"/>
        <v>0</v>
      </c>
      <c r="J39" s="36"/>
      <c r="K39" s="36"/>
      <c r="L39" s="10"/>
      <c r="M39" s="56"/>
    </row>
    <row r="40" spans="1:13" ht="12.5">
      <c r="A40" s="79"/>
      <c r="B40" s="79" t="s">
        <v>908</v>
      </c>
      <c r="C40" s="10"/>
      <c r="D40" s="191"/>
      <c r="E40" s="191"/>
      <c r="F40" s="10"/>
      <c r="G40" s="10"/>
      <c r="H40" s="10"/>
      <c r="I40" s="67">
        <f t="shared" si="0"/>
        <v>0</v>
      </c>
      <c r="J40" s="36"/>
      <c r="K40" s="36"/>
      <c r="L40" s="10"/>
      <c r="M40" s="56"/>
    </row>
    <row r="41" spans="1:13" ht="12.5">
      <c r="A41" s="79"/>
      <c r="B41" s="79" t="s">
        <v>909</v>
      </c>
      <c r="C41" s="10"/>
      <c r="D41" s="191"/>
      <c r="E41" s="191"/>
      <c r="F41" s="10"/>
      <c r="G41" s="10"/>
      <c r="H41" s="10"/>
      <c r="I41" s="67">
        <f t="shared" si="0"/>
        <v>0</v>
      </c>
      <c r="J41" s="36"/>
      <c r="K41" s="36"/>
      <c r="L41" s="10"/>
      <c r="M41" s="56"/>
    </row>
    <row r="42" spans="1:13" ht="12.5">
      <c r="A42" s="79"/>
      <c r="B42" s="208" t="str">
        <f>HYPERLINK("http://codeforces.com/contest/201/problem/B","CF201-D1-B")</f>
        <v>CF201-D1-B</v>
      </c>
      <c r="C42" s="10"/>
      <c r="D42" s="191"/>
      <c r="E42" s="191"/>
      <c r="F42" s="10"/>
      <c r="G42" s="10"/>
      <c r="H42" s="10"/>
      <c r="I42" s="67">
        <f t="shared" si="0"/>
        <v>0</v>
      </c>
      <c r="J42" s="36"/>
      <c r="K42" s="36"/>
      <c r="L42" s="10"/>
      <c r="M42" s="56"/>
    </row>
    <row r="43" spans="1:13" ht="12.5">
      <c r="A43" s="79"/>
      <c r="B43" s="208" t="str">
        <f>HYPERLINK("http://codeforces.com/contest/380/problem/C","CF380-D1-C")</f>
        <v>CF380-D1-C</v>
      </c>
      <c r="C43" s="10"/>
      <c r="D43" s="191"/>
      <c r="E43" s="191"/>
      <c r="F43" s="10"/>
      <c r="G43" s="10"/>
      <c r="H43" s="10"/>
      <c r="I43" s="67">
        <f t="shared" si="0"/>
        <v>0</v>
      </c>
      <c r="J43" s="36"/>
      <c r="K43" s="36"/>
      <c r="L43" s="10"/>
      <c r="M43" s="56"/>
    </row>
    <row r="44" spans="1:13" ht="13">
      <c r="A44" s="79"/>
      <c r="B44" s="208" t="str">
        <f>HYPERLINK("http://codeforces.com/contest/161/problem/D","CF161-D12-D")</f>
        <v>CF161-D12-D</v>
      </c>
      <c r="C44" s="10"/>
      <c r="D44" s="191"/>
      <c r="E44" s="191"/>
      <c r="F44" s="10"/>
      <c r="G44" s="10"/>
      <c r="H44" s="10"/>
      <c r="I44" s="67">
        <f t="shared" si="0"/>
        <v>0</v>
      </c>
      <c r="J44" s="36"/>
      <c r="K44" s="36"/>
      <c r="L44" s="10"/>
      <c r="M44" s="209" t="str">
        <f>HYPERLINK("https://codeforces.com/blog/entry/20935","Reading: DP on Trees")</f>
        <v>Reading: DP on Trees</v>
      </c>
    </row>
    <row r="45" spans="1:13" ht="13">
      <c r="A45" s="79"/>
      <c r="B45" s="208" t="str">
        <f>HYPERLINK("https://codeforces.com/problemset/problem/61/E","CF61-D2-E")</f>
        <v>CF61-D2-E</v>
      </c>
      <c r="C45" s="10"/>
      <c r="D45" s="10"/>
      <c r="E45" s="10"/>
      <c r="F45" s="10"/>
      <c r="G45" s="10"/>
      <c r="H45" s="10"/>
      <c r="I45" s="67">
        <f t="shared" si="0"/>
        <v>0</v>
      </c>
      <c r="J45" s="36"/>
      <c r="K45" s="36"/>
      <c r="L45" s="10"/>
      <c r="M45" s="210"/>
    </row>
    <row r="46" spans="1:13" ht="12.5">
      <c r="A46" s="79"/>
      <c r="B46" s="79" t="s">
        <v>910</v>
      </c>
      <c r="C46" s="10"/>
      <c r="D46" s="10"/>
      <c r="E46" s="10"/>
      <c r="F46" s="10"/>
      <c r="G46" s="10"/>
      <c r="H46" s="10"/>
      <c r="I46" s="67">
        <f t="shared" si="0"/>
        <v>0</v>
      </c>
      <c r="J46" s="36"/>
      <c r="K46" s="36"/>
      <c r="L46" s="10"/>
      <c r="M46" s="56"/>
    </row>
    <row r="47" spans="1:13" ht="12.5">
      <c r="A47" s="46"/>
      <c r="B47" s="61"/>
      <c r="C47" s="10"/>
      <c r="D47" s="191"/>
      <c r="E47" s="191"/>
      <c r="F47" s="10"/>
      <c r="G47" s="10"/>
      <c r="H47" s="10"/>
      <c r="I47" s="67">
        <f t="shared" si="0"/>
        <v>0</v>
      </c>
      <c r="J47" s="36"/>
      <c r="K47" s="36"/>
      <c r="L47" s="10"/>
      <c r="M47" s="56"/>
    </row>
    <row r="48" spans="1:13" ht="12.5">
      <c r="A48" s="46" t="s">
        <v>911</v>
      </c>
      <c r="B48" s="61" t="str">
        <f>HYPERLINK("http://codeforces.com/contest/151/problem/D","CF151-D2-D")</f>
        <v>CF151-D2-D</v>
      </c>
      <c r="C48" s="10"/>
      <c r="D48" s="191"/>
      <c r="E48" s="191"/>
      <c r="F48" s="10"/>
      <c r="G48" s="10"/>
      <c r="H48" s="10"/>
      <c r="I48" s="67">
        <f t="shared" si="0"/>
        <v>0</v>
      </c>
      <c r="J48" s="36"/>
      <c r="K48" s="36"/>
      <c r="L48" s="10"/>
      <c r="M48" s="56"/>
    </row>
    <row r="49" spans="1:13" ht="12.5">
      <c r="A49" s="46" t="s">
        <v>912</v>
      </c>
      <c r="B49" s="61" t="str">
        <f>HYPERLINK("http://codeforces.com/contest/61/problem/D","CF61-D2-D")</f>
        <v>CF61-D2-D</v>
      </c>
      <c r="C49" s="10"/>
      <c r="D49" s="191"/>
      <c r="E49" s="191"/>
      <c r="F49" s="10"/>
      <c r="G49" s="10"/>
      <c r="H49" s="10"/>
      <c r="I49" s="67">
        <f t="shared" si="0"/>
        <v>0</v>
      </c>
      <c r="J49" s="36"/>
      <c r="K49" s="36"/>
      <c r="L49" s="10"/>
      <c r="M49" s="56"/>
    </row>
    <row r="50" spans="1:13" ht="12.5">
      <c r="A50" s="46" t="s">
        <v>913</v>
      </c>
      <c r="B50" s="169" t="str">
        <f>HYPERLINK("http://codeforces.com/contest/808/problem/D","CF808-D2-D")</f>
        <v>CF808-D2-D</v>
      </c>
      <c r="C50" s="10"/>
      <c r="D50" s="191"/>
      <c r="E50" s="191"/>
      <c r="F50" s="10"/>
      <c r="G50" s="10"/>
      <c r="H50" s="10"/>
      <c r="I50" s="67">
        <f t="shared" si="0"/>
        <v>0</v>
      </c>
      <c r="J50" s="36"/>
      <c r="K50" s="36"/>
      <c r="L50" s="10"/>
      <c r="M50" s="59" t="str">
        <f>HYPERLINK("https://www.youtube.com/watch?v=wL0s8xIQYbk","Video Solution - Solver to be (Java)")</f>
        <v>Video Solution - Solver to be (Java)</v>
      </c>
    </row>
    <row r="51" spans="1:13" ht="12.5">
      <c r="A51" s="46"/>
      <c r="B51" s="169" t="str">
        <f>HYPERLINK("http://codeforces.com/contest/45/problem/D","CF45-D12-D")</f>
        <v>CF45-D12-D</v>
      </c>
      <c r="C51" s="10"/>
      <c r="D51" s="191"/>
      <c r="E51" s="191"/>
      <c r="F51" s="10"/>
      <c r="G51" s="10"/>
      <c r="H51" s="10"/>
      <c r="I51" s="67">
        <f t="shared" si="0"/>
        <v>0</v>
      </c>
      <c r="J51" s="36"/>
      <c r="K51" s="36"/>
      <c r="L51" s="10"/>
      <c r="M51" s="56"/>
    </row>
    <row r="52" spans="1:13" ht="12.5">
      <c r="A52" s="46"/>
      <c r="B52" s="46" t="s">
        <v>914</v>
      </c>
      <c r="C52" s="10"/>
      <c r="D52" s="191"/>
      <c r="E52" s="191"/>
      <c r="F52" s="10"/>
      <c r="G52" s="10"/>
      <c r="H52" s="10"/>
      <c r="I52" s="67">
        <f t="shared" si="0"/>
        <v>0</v>
      </c>
      <c r="J52" s="36"/>
      <c r="K52" s="36"/>
      <c r="L52" s="10"/>
      <c r="M52" s="56"/>
    </row>
    <row r="53" spans="1:13" ht="12.5">
      <c r="A53" s="46"/>
      <c r="B53" s="169" t="str">
        <f>HYPERLINK("http://codeforces.com/problemsets/acmsguru/problem/99999/321","SGU 321")</f>
        <v>SGU 321</v>
      </c>
      <c r="C53" s="10"/>
      <c r="D53" s="191"/>
      <c r="E53" s="191"/>
      <c r="F53" s="10"/>
      <c r="G53" s="10"/>
      <c r="H53" s="10"/>
      <c r="I53" s="67">
        <f t="shared" si="0"/>
        <v>0</v>
      </c>
      <c r="J53" s="36"/>
      <c r="K53" s="36"/>
      <c r="L53" s="10"/>
      <c r="M53" s="59" t="str">
        <f>HYPERLINK("https://github.com/mostafa-saad/MyCompetitiveProgramming/blob/master/SGU/SGU_321.txt","Sol")</f>
        <v>Sol</v>
      </c>
    </row>
    <row r="54" spans="1:13" ht="12.5">
      <c r="A54" s="46"/>
      <c r="B54" s="169" t="str">
        <f>HYPERLINK("https://www.codechef.com/LTIME64B/problems/OPPOSITE", "CODECHEF OPPOSITE")</f>
        <v>CODECHEF OPPOSITE</v>
      </c>
      <c r="C54" s="10"/>
      <c r="D54" s="191"/>
      <c r="E54" s="191"/>
      <c r="F54" s="10"/>
      <c r="G54" s="10"/>
      <c r="H54" s="10"/>
      <c r="I54" s="67">
        <f t="shared" si="0"/>
        <v>0</v>
      </c>
      <c r="J54" s="36"/>
      <c r="K54" s="36"/>
      <c r="L54" s="10"/>
      <c r="M54" s="56"/>
    </row>
    <row r="55" spans="1:13" ht="12.5">
      <c r="A55" s="46"/>
      <c r="B55" s="46" t="s">
        <v>915</v>
      </c>
      <c r="C55" s="10"/>
      <c r="D55" s="191"/>
      <c r="E55" s="191"/>
      <c r="F55" s="10"/>
      <c r="G55" s="10"/>
      <c r="H55" s="10"/>
      <c r="I55" s="67">
        <f t="shared" si="0"/>
        <v>0</v>
      </c>
      <c r="J55" s="36"/>
      <c r="K55" s="36"/>
      <c r="L55" s="10"/>
      <c r="M55" s="56"/>
    </row>
    <row r="56" spans="1:13" ht="12.5">
      <c r="A56" s="46"/>
      <c r="B56" s="46" t="s">
        <v>916</v>
      </c>
      <c r="C56" s="10"/>
      <c r="D56" s="191"/>
      <c r="E56" s="191"/>
      <c r="F56" s="10"/>
      <c r="G56" s="10"/>
      <c r="H56" s="10"/>
      <c r="I56" s="67">
        <f t="shared" si="0"/>
        <v>0</v>
      </c>
      <c r="J56" s="36"/>
      <c r="K56" s="36"/>
      <c r="L56" s="10"/>
      <c r="M56" s="56"/>
    </row>
    <row r="57" spans="1:13" ht="12.5">
      <c r="A57" s="46"/>
      <c r="B57" s="46" t="s">
        <v>917</v>
      </c>
      <c r="C57" s="10"/>
      <c r="D57" s="191"/>
      <c r="E57" s="191"/>
      <c r="F57" s="10"/>
      <c r="G57" s="10"/>
      <c r="H57" s="10"/>
      <c r="I57" s="67">
        <f t="shared" si="0"/>
        <v>0</v>
      </c>
      <c r="J57" s="36"/>
      <c r="K57" s="36"/>
      <c r="L57" s="10"/>
      <c r="M57" s="56"/>
    </row>
    <row r="58" spans="1:13" ht="12.5">
      <c r="A58" s="150" t="s">
        <v>918</v>
      </c>
      <c r="B58" s="211" t="str">
        <f>HYPERLINK("http://codeforces.com/contest/216/problem/C","CF216-D2-C")</f>
        <v>CF216-D2-C</v>
      </c>
      <c r="C58" s="10"/>
      <c r="D58" s="191"/>
      <c r="E58" s="191"/>
      <c r="F58" s="10"/>
      <c r="G58" s="10"/>
      <c r="H58" s="10"/>
      <c r="I58" s="67">
        <f t="shared" si="0"/>
        <v>0</v>
      </c>
      <c r="J58" s="36"/>
      <c r="K58" s="36"/>
      <c r="L58" s="10"/>
      <c r="M58" s="56"/>
    </row>
    <row r="59" spans="1:13" ht="12.5">
      <c r="A59" s="150" t="s">
        <v>919</v>
      </c>
      <c r="B59" s="211" t="str">
        <f>HYPERLINK("http://codeforces.com/contest/535/problem/C","CF535-D2-C")</f>
        <v>CF535-D2-C</v>
      </c>
      <c r="C59" s="10"/>
      <c r="D59" s="191"/>
      <c r="E59" s="191"/>
      <c r="F59" s="10"/>
      <c r="G59" s="10"/>
      <c r="H59" s="10"/>
      <c r="I59" s="67">
        <f t="shared" si="0"/>
        <v>0</v>
      </c>
      <c r="J59" s="36"/>
      <c r="K59" s="36"/>
      <c r="L59" s="10"/>
      <c r="M59" s="56"/>
    </row>
    <row r="60" spans="1:13" ht="12.5">
      <c r="A60" s="150" t="s">
        <v>920</v>
      </c>
      <c r="B60" s="211" t="str">
        <f>HYPERLINK("http://codeforces.com/contest/189/problem/C","CF189-D2-C")</f>
        <v>CF189-D2-C</v>
      </c>
      <c r="C60" s="10"/>
      <c r="D60" s="191"/>
      <c r="E60" s="191"/>
      <c r="F60" s="10"/>
      <c r="G60" s="10"/>
      <c r="H60" s="10"/>
      <c r="I60" s="67">
        <f t="shared" si="0"/>
        <v>0</v>
      </c>
      <c r="J60" s="36"/>
      <c r="K60" s="36"/>
      <c r="M60" s="130" t="str">
        <f>HYPERLINK("https://github.com/MedoN11/CompetitiveProgramming/blob/master/CodeForces/CF189-D1-C.cpp","Sol")</f>
        <v>Sol</v>
      </c>
    </row>
    <row r="61" spans="1:13" ht="13">
      <c r="A61" s="10"/>
      <c r="B61" s="10"/>
      <c r="C61" s="10"/>
      <c r="D61" s="191"/>
      <c r="E61" s="191"/>
      <c r="F61" s="10"/>
      <c r="G61" s="10"/>
      <c r="H61" s="10"/>
      <c r="I61" s="67">
        <f t="shared" si="0"/>
        <v>0</v>
      </c>
      <c r="J61" s="10"/>
      <c r="K61" s="10"/>
      <c r="L61" s="10"/>
      <c r="M61" s="212" t="str">
        <f>HYPERLINK("https://www.youtube.com/watch?v=n-Xwrr8RFQ0","Watch - Two pointers technique")</f>
        <v>Watch - Two pointers technique</v>
      </c>
    </row>
    <row r="62" spans="1:13" ht="12.5">
      <c r="A62" s="74" t="s">
        <v>921</v>
      </c>
      <c r="B62" s="213" t="str">
        <f>HYPERLINK("http://codeforces.com/contest/216/problem/D","CF216-D2-D")</f>
        <v>CF216-D2-D</v>
      </c>
      <c r="C62" s="10"/>
      <c r="D62" s="191"/>
      <c r="E62" s="191"/>
      <c r="F62" s="10"/>
      <c r="G62" s="10"/>
      <c r="H62" s="10"/>
      <c r="I62" s="67">
        <f t="shared" si="0"/>
        <v>0</v>
      </c>
      <c r="J62" s="10"/>
      <c r="K62" s="10"/>
      <c r="L62" s="10"/>
      <c r="M62" s="10"/>
    </row>
    <row r="63" spans="1:13" ht="12.5">
      <c r="A63" s="74" t="s">
        <v>922</v>
      </c>
      <c r="B63" s="214" t="str">
        <f>HYPERLINK("http://codeforces.com/contest/334/problem/D","CF334-D2-D")</f>
        <v>CF334-D2-D</v>
      </c>
      <c r="C63" s="10"/>
      <c r="D63" s="191"/>
      <c r="E63" s="191"/>
      <c r="F63" s="10"/>
      <c r="G63" s="10"/>
      <c r="H63" s="10"/>
      <c r="I63" s="67">
        <f t="shared" si="0"/>
        <v>0</v>
      </c>
      <c r="J63" s="10"/>
      <c r="K63" s="10"/>
      <c r="L63" s="10"/>
      <c r="M63" s="10"/>
    </row>
    <row r="64" spans="1:13" ht="12.5">
      <c r="A64" s="74" t="s">
        <v>923</v>
      </c>
      <c r="B64" s="214" t="str">
        <f>HYPERLINK("http://codeforces.com/contest/676/problem/C","CF676-D2-C")</f>
        <v>CF676-D2-C</v>
      </c>
      <c r="C64" s="10"/>
      <c r="D64" s="191"/>
      <c r="E64" s="191"/>
      <c r="F64" s="10"/>
      <c r="G64" s="10"/>
      <c r="H64" s="10"/>
      <c r="I64" s="67">
        <f t="shared" si="0"/>
        <v>0</v>
      </c>
      <c r="J64" s="10"/>
      <c r="K64" s="10"/>
      <c r="L64" s="10"/>
      <c r="M64" s="10"/>
    </row>
    <row r="65" spans="1:13" ht="12.5">
      <c r="A65" s="79" t="s">
        <v>924</v>
      </c>
      <c r="B65" s="148" t="str">
        <f>HYPERLINK("https://icpcarchive.ecs.baylor.edu/index.php?option=com_onlinejudge&amp;Itemid=8&amp;category=19&amp;page=show_problem&amp;problem=1635","LiveArchive 3634")</f>
        <v>LiveArchive 3634</v>
      </c>
      <c r="C65" s="10"/>
      <c r="D65" s="191"/>
      <c r="E65" s="191"/>
      <c r="F65" s="10"/>
      <c r="G65" s="10"/>
      <c r="H65" s="10"/>
      <c r="I65" s="67">
        <f t="shared" si="0"/>
        <v>0</v>
      </c>
      <c r="J65" s="10"/>
      <c r="K65" s="10"/>
      <c r="L65" s="10"/>
      <c r="M65" s="130" t="str">
        <f>HYPERLINK("https://github.com/SaraElkadi/competitive-programming-/blob/master/LiveArchive/3634.cpp","Sol")</f>
        <v>Sol</v>
      </c>
    </row>
    <row r="66" spans="1:13" ht="12.5">
      <c r="A66" s="79" t="s">
        <v>925</v>
      </c>
      <c r="B66" s="148" t="str">
        <f>HYPERLINK("https://uva.onlinejudge.org/index.php?option=com_onlinejudge&amp;Itemid=8&amp;page=show_problem&amp;problem=4467","UVA 1592")</f>
        <v>UVA 1592</v>
      </c>
      <c r="C66" s="10"/>
      <c r="D66" s="191"/>
      <c r="E66" s="191"/>
      <c r="F66" s="10"/>
      <c r="G66" s="10"/>
      <c r="H66" s="10"/>
      <c r="I66" s="67">
        <f t="shared" si="0"/>
        <v>0</v>
      </c>
      <c r="J66" s="10"/>
      <c r="K66" s="10"/>
      <c r="L66" s="10"/>
    </row>
    <row r="67" spans="1:13" ht="12.5">
      <c r="A67" s="79" t="s">
        <v>926</v>
      </c>
      <c r="B67" s="148" t="str">
        <f>HYPERLINK("http://www.spoj.com/problems/GSS1/","SPOJ GSS1")</f>
        <v>SPOJ GSS1</v>
      </c>
      <c r="C67" s="10"/>
      <c r="D67" s="191"/>
      <c r="E67" s="191"/>
      <c r="F67" s="10"/>
      <c r="G67" s="10"/>
      <c r="H67" s="10"/>
      <c r="I67" s="67">
        <f t="shared" si="0"/>
        <v>0</v>
      </c>
      <c r="J67" s="10"/>
      <c r="K67" s="10"/>
      <c r="L67" s="131"/>
      <c r="M67" s="130" t="str">
        <f>HYPERLINK("https://github.com/AliOsm/CompetitiveProgramming/blob/master/SPOJ/GSS1%20-%20Can%20you%20answer%20these%20queries%20I.cpp","Sol")</f>
        <v>Sol</v>
      </c>
    </row>
    <row r="68" spans="1:13" ht="12.5">
      <c r="A68" s="79"/>
      <c r="B68" s="164" t="str">
        <f>HYPERLINK("https://www.spoj.com/problems/BILLIARD/","SPOJ BILLIARD")</f>
        <v>SPOJ BILLIARD</v>
      </c>
      <c r="C68" s="10"/>
      <c r="D68" s="191"/>
      <c r="E68" s="191"/>
      <c r="F68" s="10"/>
      <c r="G68" s="10"/>
      <c r="H68" s="10"/>
      <c r="I68" s="67">
        <f t="shared" si="0"/>
        <v>0</v>
      </c>
      <c r="J68" s="10"/>
      <c r="K68" s="10"/>
      <c r="L68" s="131"/>
      <c r="M68" s="130" t="str">
        <f>HYPERLINK("https://github.com/osamahatem/CompetitiveProgramming/blob/master/SPOJ/BILLIARD.cpp","Sol")</f>
        <v>Sol</v>
      </c>
    </row>
    <row r="69" spans="1:13" ht="12.5">
      <c r="A69" s="79" t="s">
        <v>927</v>
      </c>
      <c r="B69" s="148" t="str">
        <f>HYPERLINK("http://www.spoj.com/problems/GSS3/","SPOJ GSS3")</f>
        <v>SPOJ GSS3</v>
      </c>
      <c r="C69" s="10"/>
      <c r="D69" s="191"/>
      <c r="E69" s="191"/>
      <c r="F69" s="10"/>
      <c r="G69" s="10"/>
      <c r="H69" s="10"/>
      <c r="I69" s="67">
        <f t="shared" si="0"/>
        <v>0</v>
      </c>
      <c r="J69" s="10"/>
      <c r="K69" s="10"/>
      <c r="L69" s="10"/>
    </row>
    <row r="70" spans="1:13" ht="12.5">
      <c r="A70" s="79"/>
      <c r="B70" s="79" t="s">
        <v>928</v>
      </c>
      <c r="C70" s="10"/>
      <c r="D70" s="191"/>
      <c r="E70" s="191"/>
      <c r="F70" s="10"/>
      <c r="G70" s="10"/>
      <c r="H70" s="10"/>
      <c r="I70" s="67">
        <f t="shared" si="0"/>
        <v>0</v>
      </c>
      <c r="J70" s="10"/>
      <c r="K70" s="10"/>
      <c r="L70" s="10"/>
      <c r="M70" s="130" t="str">
        <f>HYPERLINK("https://github.com/mostafa-saad/MyCompetitiveProgramming/blob/master/SPOJ/SPOJ_ABA12E.txt","Sol")</f>
        <v>Sol</v>
      </c>
    </row>
    <row r="71" spans="1:13" ht="12.5">
      <c r="A71" s="79"/>
      <c r="B71" s="79" t="s">
        <v>929</v>
      </c>
      <c r="C71" s="10"/>
      <c r="D71" s="191"/>
      <c r="E71" s="191"/>
      <c r="F71" s="10"/>
      <c r="G71" s="10"/>
      <c r="H71" s="10"/>
      <c r="I71" s="67">
        <f t="shared" si="0"/>
        <v>0</v>
      </c>
      <c r="J71" s="10"/>
      <c r="K71" s="10"/>
      <c r="L71" s="10"/>
      <c r="M71" s="130" t="str">
        <f>HYPERLINK("https://github.com/ilyesG/Competitive-Programming/blob/master/UVA/UVA%2011825.cpp","Sol")</f>
        <v>Sol</v>
      </c>
    </row>
    <row r="72" spans="1:13" ht="12.5">
      <c r="A72" s="79"/>
      <c r="B72" s="215" t="str">
        <f>HYPERLINK("http://codeforces.com/contest/472/problem/D","CF472-D12-D")</f>
        <v>CF472-D12-D</v>
      </c>
      <c r="C72" s="10"/>
      <c r="D72" s="191"/>
      <c r="E72" s="191"/>
      <c r="F72" s="10"/>
      <c r="G72" s="10"/>
      <c r="H72" s="10"/>
      <c r="I72" s="67">
        <f t="shared" si="0"/>
        <v>0</v>
      </c>
      <c r="J72" s="10"/>
      <c r="K72" s="10"/>
      <c r="L72" s="10"/>
    </row>
    <row r="73" spans="1:13" ht="12.5">
      <c r="A73" s="79"/>
      <c r="B73" s="79" t="s">
        <v>930</v>
      </c>
      <c r="C73" s="10"/>
      <c r="D73" s="191"/>
      <c r="E73" s="191"/>
      <c r="F73" s="10"/>
      <c r="G73" s="10"/>
      <c r="H73" s="10"/>
      <c r="I73" s="67">
        <f t="shared" si="0"/>
        <v>0</v>
      </c>
      <c r="J73" s="10"/>
      <c r="K73" s="10"/>
      <c r="L73" s="10"/>
      <c r="M73" s="130" t="str">
        <f>HYPERLINK("https://github.com/yazanKabbany/CompetitiveProgramming/blob/master/UVA/UVA%2012325.cpp","Prove your Solution")</f>
        <v>Prove your Solution</v>
      </c>
    </row>
    <row r="74" spans="1:13" ht="12.5">
      <c r="A74" s="79"/>
      <c r="B74" s="79" t="s">
        <v>931</v>
      </c>
      <c r="C74" s="10"/>
      <c r="D74" s="191"/>
      <c r="E74" s="191"/>
      <c r="F74" s="10"/>
      <c r="G74" s="10"/>
      <c r="H74" s="10"/>
      <c r="I74" s="67">
        <f t="shared" si="0"/>
        <v>0</v>
      </c>
      <c r="J74" s="10"/>
      <c r="K74" s="10"/>
      <c r="L74" s="10"/>
      <c r="M74" s="130" t="str">
        <f>HYPERLINK("https://github.com/ilyesG/Competitive-Programming/blob/master/UVA/UVA%2012047.cpp","Sol")</f>
        <v>Sol</v>
      </c>
    </row>
    <row r="75" spans="1:13" ht="12.5">
      <c r="A75" s="79"/>
      <c r="B75" s="79" t="s">
        <v>932</v>
      </c>
      <c r="C75" s="10"/>
      <c r="D75" s="191"/>
      <c r="E75" s="191"/>
      <c r="F75" s="10"/>
      <c r="G75" s="10"/>
      <c r="H75" s="10"/>
      <c r="I75" s="67">
        <f t="shared" si="0"/>
        <v>0</v>
      </c>
      <c r="J75" s="10"/>
      <c r="K75" s="10"/>
      <c r="L75" s="10"/>
      <c r="M75" s="130" t="str">
        <f>HYPERLINK("https://github.com/ilyesG/Competitive-Programming/blob/master/UVA/UVA%2010705.cpp","Sol")</f>
        <v>Sol</v>
      </c>
    </row>
    <row r="76" spans="1:13" ht="12.5">
      <c r="A76" s="79"/>
      <c r="B76" s="215" t="str">
        <f>HYPERLINK("https://uva.onlinejudge.org/index.php?option=onlinejudge&amp;page=show_problem&amp;problem=4330","UVA 1555")</f>
        <v>UVA 1555</v>
      </c>
      <c r="C76" s="10"/>
      <c r="D76" s="191"/>
      <c r="E76" s="191"/>
      <c r="F76" s="10"/>
      <c r="G76" s="10"/>
      <c r="H76" s="10"/>
      <c r="I76" s="67">
        <f t="shared" si="0"/>
        <v>0</v>
      </c>
      <c r="J76" s="10"/>
      <c r="K76" s="10"/>
      <c r="L76" s="10"/>
      <c r="M76" s="216" t="str">
        <f>HYPERLINK("https://github.com/mostafa-saad/MyCompetitiveProgramming/blob/master/UVA/UVA_1555.txt","Sol")</f>
        <v>Sol</v>
      </c>
    </row>
    <row r="77" spans="1:13" ht="12.5">
      <c r="A77" s="79"/>
      <c r="B77" s="215" t="str">
        <f>HYPERLINK("http://codeforces.com/contest/80/problem/D","CF80-D2-D")</f>
        <v>CF80-D2-D</v>
      </c>
      <c r="C77" s="10"/>
      <c r="D77" s="191"/>
      <c r="E77" s="191"/>
      <c r="F77" s="10"/>
      <c r="G77" s="10"/>
      <c r="H77" s="10"/>
      <c r="I77" s="67">
        <f t="shared" si="0"/>
        <v>0</v>
      </c>
      <c r="J77" s="10"/>
      <c r="K77" s="10"/>
      <c r="L77" s="10"/>
    </row>
    <row r="78" spans="1:13" ht="12.5">
      <c r="A78" s="60"/>
      <c r="B78" s="61"/>
      <c r="C78" s="10"/>
      <c r="D78" s="191"/>
      <c r="E78" s="191"/>
      <c r="F78" s="10"/>
      <c r="G78" s="10"/>
      <c r="H78" s="10"/>
      <c r="I78" s="67">
        <f t="shared" si="0"/>
        <v>0</v>
      </c>
      <c r="J78" s="36"/>
      <c r="K78" s="36"/>
      <c r="L78" s="10"/>
      <c r="M78" s="56"/>
    </row>
    <row r="79" spans="1:13" ht="12.5">
      <c r="A79" s="60" t="s">
        <v>933</v>
      </c>
      <c r="B79" s="217" t="str">
        <f>HYPERLINK("http://codeforces.com/contest/766/problem/D","CF766-D2-D")</f>
        <v>CF766-D2-D</v>
      </c>
      <c r="C79" s="10"/>
      <c r="D79" s="191"/>
      <c r="E79" s="191"/>
      <c r="F79" s="10"/>
      <c r="G79" s="10"/>
      <c r="H79" s="10"/>
      <c r="I79" s="67">
        <f t="shared" si="0"/>
        <v>0</v>
      </c>
      <c r="J79" s="36"/>
      <c r="K79" s="36"/>
      <c r="L79" s="10"/>
      <c r="M79" s="59" t="str">
        <f>HYPERLINK("https://www.youtube.com/watch?v=W0O3QNh0-DU","Video Solution - Solver to be (Java)")</f>
        <v>Video Solution - Solver to be (Java)</v>
      </c>
    </row>
    <row r="80" spans="1:13" ht="12.5">
      <c r="A80" s="60" t="s">
        <v>934</v>
      </c>
      <c r="B80" s="217" t="str">
        <f>HYPERLINK("http://codeforces.com/contest/814/problem/D","CF814-D2-D")</f>
        <v>CF814-D2-D</v>
      </c>
      <c r="C80" s="10"/>
      <c r="D80" s="191"/>
      <c r="E80" s="191"/>
      <c r="F80" s="10"/>
      <c r="G80" s="10"/>
      <c r="H80" s="10"/>
      <c r="I80" s="67">
        <f t="shared" si="0"/>
        <v>0</v>
      </c>
      <c r="J80" s="36"/>
      <c r="K80" s="36"/>
      <c r="L80" s="10"/>
      <c r="M80" s="59" t="str">
        <f>HYPERLINK("https://www.youtube.com/watch?v=UWtHck3a4SA","Video Solution - Solver to be (Java)")</f>
        <v>Video Solution - Solver to be (Java)</v>
      </c>
    </row>
    <row r="81" spans="1:13" ht="12.5">
      <c r="A81" s="56" t="s">
        <v>935</v>
      </c>
      <c r="B81" s="218" t="str">
        <f>HYPERLINK("http://codeforces.com/contest/617/problem/D","CF617-D2-D")</f>
        <v>CF617-D2-D</v>
      </c>
      <c r="C81" s="10"/>
      <c r="D81" s="191"/>
      <c r="E81" s="191"/>
      <c r="F81" s="10"/>
      <c r="G81" s="10"/>
      <c r="H81" s="10"/>
      <c r="I81" s="67">
        <f t="shared" si="0"/>
        <v>0</v>
      </c>
      <c r="J81" s="10"/>
      <c r="K81" s="10"/>
      <c r="L81" s="10"/>
      <c r="M81" s="10"/>
    </row>
    <row r="82" spans="1:13" ht="12.5">
      <c r="A82" s="56" t="s">
        <v>656</v>
      </c>
      <c r="B82" s="218" t="str">
        <f>HYPERLINK("http://codeforces.com/contest/92/problem/D","CF92-D2-D")</f>
        <v>CF92-D2-D</v>
      </c>
      <c r="C82" s="10"/>
      <c r="D82" s="191"/>
      <c r="E82" s="191"/>
      <c r="F82" s="10"/>
      <c r="G82" s="10"/>
      <c r="H82" s="10"/>
      <c r="I82" s="67">
        <f t="shared" si="0"/>
        <v>0</v>
      </c>
      <c r="J82" s="10"/>
      <c r="K82" s="10"/>
      <c r="L82" s="10"/>
      <c r="M82" s="10"/>
    </row>
    <row r="83" spans="1:13" ht="12.5">
      <c r="A83" s="56"/>
      <c r="B83" s="218" t="str">
        <f>HYPERLINK("http://codeforces.com/contest/1038/problem/D","CF1038-D2-D")</f>
        <v>CF1038-D2-D</v>
      </c>
      <c r="C83" s="10"/>
      <c r="D83" s="191"/>
      <c r="E83" s="191"/>
      <c r="F83" s="10"/>
      <c r="G83" s="10"/>
      <c r="H83" s="10"/>
      <c r="I83" s="67">
        <f t="shared" si="0"/>
        <v>0</v>
      </c>
      <c r="J83" s="10"/>
      <c r="K83" s="10"/>
      <c r="L83" s="10"/>
      <c r="M83" s="10"/>
    </row>
    <row r="84" spans="1:13" ht="12.5">
      <c r="A84" s="56"/>
      <c r="B84" s="218" t="str">
        <f>HYPERLINK("http://codeforces.com/contest/552/problem/D","CF552-D2-D")</f>
        <v>CF552-D2-D</v>
      </c>
      <c r="C84" s="10"/>
      <c r="D84" s="191"/>
      <c r="E84" s="191"/>
      <c r="F84" s="10"/>
      <c r="G84" s="10"/>
      <c r="H84" s="10"/>
      <c r="I84" s="67">
        <f t="shared" si="0"/>
        <v>0</v>
      </c>
      <c r="J84" s="10"/>
      <c r="K84" s="10"/>
      <c r="L84" s="10"/>
      <c r="M84" s="10"/>
    </row>
    <row r="85" spans="1:13" ht="12.5">
      <c r="A85" s="56"/>
      <c r="B85" s="218" t="str">
        <f>HYPERLINK("https://codeforces.com/gym/101917/problem/E", "CF101917-D12-E")</f>
        <v>CF101917-D12-E</v>
      </c>
      <c r="C85" s="10"/>
      <c r="D85" s="191"/>
      <c r="E85" s="191"/>
      <c r="F85" s="10"/>
      <c r="G85" s="10"/>
      <c r="H85" s="10"/>
      <c r="I85" s="67">
        <f t="shared" si="0"/>
        <v>0</v>
      </c>
      <c r="J85" s="10"/>
      <c r="K85" s="10"/>
      <c r="L85" s="10"/>
      <c r="M85" s="10"/>
    </row>
    <row r="86" spans="1:13" ht="12.5">
      <c r="A86" s="56"/>
      <c r="B86" s="218" t="str">
        <f>HYPERLINK("http://codeforces.com/contest/1058/problem/D","CF1058-D2-D")</f>
        <v>CF1058-D2-D</v>
      </c>
      <c r="C86" s="10"/>
      <c r="D86" s="191"/>
      <c r="E86" s="191"/>
      <c r="F86" s="10"/>
      <c r="G86" s="10"/>
      <c r="H86" s="10"/>
      <c r="I86" s="67">
        <f t="shared" si="0"/>
        <v>0</v>
      </c>
      <c r="J86" s="10"/>
      <c r="K86" s="10"/>
      <c r="L86" s="10"/>
      <c r="M86" s="10"/>
    </row>
    <row r="87" spans="1:13" ht="12.5">
      <c r="A87" s="56"/>
      <c r="B87" s="218" t="str">
        <f>HYPERLINK("http://codeforces.com/contest/1043/problem/D", "CF1042-D12-D")</f>
        <v>CF1042-D12-D</v>
      </c>
      <c r="C87" s="10"/>
      <c r="D87" s="191"/>
      <c r="E87" s="191"/>
      <c r="F87" s="10"/>
      <c r="G87" s="10"/>
      <c r="H87" s="10"/>
      <c r="I87" s="67">
        <f t="shared" si="0"/>
        <v>0</v>
      </c>
      <c r="J87" s="10"/>
      <c r="K87" s="10"/>
      <c r="L87" s="10"/>
      <c r="M87" s="10"/>
    </row>
    <row r="88" spans="1:13" ht="12.5">
      <c r="A88" s="79"/>
      <c r="B88" s="79" t="s">
        <v>936</v>
      </c>
      <c r="C88" s="10"/>
      <c r="D88" s="191"/>
      <c r="E88" s="191"/>
      <c r="F88" s="10"/>
      <c r="G88" s="10"/>
      <c r="H88" s="10"/>
      <c r="I88" s="67">
        <f t="shared" si="0"/>
        <v>0</v>
      </c>
      <c r="J88" s="10"/>
      <c r="K88" s="10"/>
      <c r="L88" s="10"/>
      <c r="M88" s="132" t="str">
        <f>HYPERLINK("https://github.com/MNT95/Competitive-Programming/blob/master/SPOJ/BIA.cpp?fbclid=IwAR1xR9CTVVj2L_Hr-1m5uIqAFHRc8Bh78z11v46sPyVjHwHeE3MvPrcMbn8","Sol")</f>
        <v>Sol</v>
      </c>
    </row>
    <row r="89" spans="1:13" ht="12.5">
      <c r="A89" s="150" t="s">
        <v>937</v>
      </c>
      <c r="B89" s="192" t="str">
        <f>HYPERLINK("http://codeforces.com/contest/186/problem/C","CF186-D2-C")</f>
        <v>CF186-D2-C</v>
      </c>
      <c r="C89" s="10"/>
      <c r="D89" s="191"/>
      <c r="E89" s="191"/>
      <c r="F89" s="10"/>
      <c r="G89" s="10"/>
      <c r="H89" s="10"/>
      <c r="I89" s="67">
        <f t="shared" si="0"/>
        <v>0</v>
      </c>
      <c r="J89" s="10"/>
      <c r="K89" s="10"/>
      <c r="L89" s="10"/>
      <c r="M89" s="10"/>
    </row>
    <row r="90" spans="1:13" ht="12.5">
      <c r="A90" s="150" t="s">
        <v>938</v>
      </c>
      <c r="B90" s="192" t="str">
        <f>HYPERLINK("http://codeforces.com/contest/667/problem/C","CF667-D2-C")</f>
        <v>CF667-D2-C</v>
      </c>
      <c r="C90" s="10"/>
      <c r="D90" s="191"/>
      <c r="E90" s="191"/>
      <c r="F90" s="10"/>
      <c r="G90" s="10"/>
      <c r="H90" s="10"/>
      <c r="I90" s="67">
        <f t="shared" si="0"/>
        <v>0</v>
      </c>
      <c r="J90" s="10"/>
      <c r="K90" s="10"/>
      <c r="L90" s="10"/>
      <c r="M90" s="10"/>
    </row>
    <row r="91" spans="1:13" ht="12.5">
      <c r="A91" s="150" t="s">
        <v>939</v>
      </c>
      <c r="B91" s="192" t="str">
        <f>HYPERLINK("http://codeforces.com/contest/287/problem/C","CF287-D2-C")</f>
        <v>CF287-D2-C</v>
      </c>
      <c r="C91" s="10"/>
      <c r="D91" s="191"/>
      <c r="E91" s="191"/>
      <c r="F91" s="10"/>
      <c r="G91" s="10"/>
      <c r="H91" s="10"/>
      <c r="I91" s="67">
        <f t="shared" si="0"/>
        <v>0</v>
      </c>
      <c r="J91" s="10"/>
      <c r="K91" s="10"/>
      <c r="L91" s="10"/>
      <c r="M91" s="10"/>
    </row>
    <row r="92" spans="1:13" ht="13">
      <c r="A92" s="10"/>
      <c r="B92" s="10"/>
      <c r="C92" s="10"/>
      <c r="D92" s="191"/>
      <c r="E92" s="191"/>
      <c r="F92" s="10"/>
      <c r="G92" s="10"/>
      <c r="H92" s="10"/>
      <c r="I92" s="67">
        <f t="shared" si="0"/>
        <v>0</v>
      </c>
      <c r="J92" s="10"/>
      <c r="K92" s="10"/>
      <c r="L92" s="10"/>
      <c r="M92" s="219" t="str">
        <f>HYPERLINK("https://www.youtube.com/watch?v=nv6Z6n02Oi0","DP - Probability")</f>
        <v>DP - Probability</v>
      </c>
    </row>
    <row r="93" spans="1:13" ht="12.5">
      <c r="A93" s="74" t="s">
        <v>940</v>
      </c>
      <c r="B93" s="220" t="str">
        <f>HYPERLINK("https://uva.onlinejudge.org/index.php?option=com_onlinejudge&amp;Itemid=8&amp;page=show_problem&amp;problem=1700","UVA 10759")</f>
        <v>UVA 10759</v>
      </c>
      <c r="C93" s="10"/>
      <c r="D93" s="191"/>
      <c r="E93" s="191"/>
      <c r="F93" s="10"/>
      <c r="G93" s="10"/>
      <c r="H93" s="10"/>
      <c r="I93" s="67">
        <f t="shared" si="0"/>
        <v>0</v>
      </c>
      <c r="J93" s="10"/>
      <c r="K93" s="10"/>
      <c r="L93" s="10"/>
      <c r="M93" s="130" t="str">
        <f>HYPERLINK("https://github.com/VAMPIER000001/CompetitiveProgramming/blob/master/UVA/V-107/UVa%2010759.cpp","Sol")</f>
        <v>Sol</v>
      </c>
    </row>
    <row r="94" spans="1:13" ht="12.5">
      <c r="A94" s="214" t="str">
        <f>HYPERLINK("https://community.topcoder.com/stat?c=problem_statement&amp;pm=7422&amp;rd=10663","TestBettingStrategy")</f>
        <v>TestBettingStrategy</v>
      </c>
      <c r="B94" s="74" t="s">
        <v>941</v>
      </c>
      <c r="C94" s="10"/>
      <c r="D94" s="191"/>
      <c r="E94" s="191"/>
      <c r="F94" s="10"/>
      <c r="G94" s="10"/>
      <c r="H94" s="10"/>
      <c r="I94" s="67">
        <f t="shared" si="0"/>
        <v>0</v>
      </c>
      <c r="J94" s="10"/>
      <c r="K94" s="10"/>
      <c r="L94" s="10"/>
    </row>
    <row r="95" spans="1:13" ht="12.5">
      <c r="A95" s="74" t="s">
        <v>942</v>
      </c>
      <c r="B95" s="213" t="str">
        <f>HYPERLINK("http://poj.org/problem?id=2096","PKU 2096")</f>
        <v>PKU 2096</v>
      </c>
      <c r="C95" s="10"/>
      <c r="D95" s="191"/>
      <c r="E95" s="191"/>
      <c r="F95" s="10"/>
      <c r="G95" s="10"/>
      <c r="H95" s="10"/>
      <c r="I95" s="67">
        <f t="shared" si="0"/>
        <v>0</v>
      </c>
      <c r="J95" s="10"/>
      <c r="K95" s="10"/>
      <c r="M95" s="130" t="str">
        <f>HYPERLINK("https://github.com/MichaelMounir12/CompetitiveProgramming/blob/478ef4641bab747e4fd63fffdff7d55287242921/PKU/PKU_2096.cpp","Sol")</f>
        <v>Sol</v>
      </c>
    </row>
    <row r="96" spans="1:13" ht="12.5">
      <c r="A96" s="74" t="s">
        <v>943</v>
      </c>
      <c r="B96" s="213" t="str">
        <f>HYPERLINK("https://uva.onlinejudge.org/index.php?option=onlinejudge&amp;page=show_problem&amp;problem=483","UVA 542")</f>
        <v>UVA 542</v>
      </c>
      <c r="C96" s="10"/>
      <c r="D96" s="191"/>
      <c r="E96" s="191"/>
      <c r="F96" s="10"/>
      <c r="G96" s="10"/>
      <c r="H96" s="10"/>
      <c r="I96" s="67">
        <f t="shared" si="0"/>
        <v>0</v>
      </c>
      <c r="J96" s="10"/>
      <c r="K96" s="10"/>
      <c r="M96" s="130" t="str">
        <f>HYPERLINK("https://github.com/mostafa-saad/MyCompetitiveProgramming/blob/master/UVA/UVA_542.txt","Sol")</f>
        <v>Sol</v>
      </c>
    </row>
    <row r="97" spans="1:13" ht="12.5">
      <c r="A97" s="74" t="s">
        <v>944</v>
      </c>
      <c r="B97" s="220" t="str">
        <f>HYPERLINK("https://uva.onlinejudge.org/index.php?option=com_onlinejudge&amp;Itemid=8&amp;page=show_problem&amp;problem=1962","UVA 11021")</f>
        <v>UVA 11021</v>
      </c>
      <c r="C97" s="10"/>
      <c r="D97" s="191"/>
      <c r="E97" s="191"/>
      <c r="F97" s="10"/>
      <c r="G97" s="10"/>
      <c r="H97" s="10"/>
      <c r="I97" s="67">
        <f t="shared" si="0"/>
        <v>0</v>
      </c>
      <c r="J97" s="10"/>
      <c r="K97" s="10"/>
      <c r="L97" s="10"/>
      <c r="M97" s="130" t="str">
        <f>HYPERLINK("https://github.com/VAMPIER000001/CompetitiveProgramming/blob/master/UVA/V-110/UVA%2011021.cpp","Sol")</f>
        <v>Sol</v>
      </c>
    </row>
    <row r="98" spans="1:13" ht="12.5">
      <c r="A98" s="74" t="s">
        <v>945</v>
      </c>
      <c r="B98" s="220" t="str">
        <f>HYPERLINK("https://uva.onlinejudge.org/index.php?option=com_onlinejudge&amp;Itemid=8&amp;page=show_problem&amp;problem=3888","UVA 12457")</f>
        <v>UVA 12457</v>
      </c>
      <c r="C98" s="10"/>
      <c r="D98" s="191"/>
      <c r="E98" s="191"/>
      <c r="F98" s="10"/>
      <c r="G98" s="10"/>
      <c r="H98" s="10"/>
      <c r="I98" s="67">
        <f t="shared" si="0"/>
        <v>0</v>
      </c>
      <c r="J98" s="10"/>
      <c r="K98" s="10"/>
      <c r="M98" s="130" t="str">
        <f>HYPERLINK("https://github.com/3agwa/CompetitiveProgramming/blob/master/UVA/UVA%2012457","Sol")</f>
        <v>Sol</v>
      </c>
    </row>
    <row r="99" spans="1:13" ht="12.5">
      <c r="A99" s="79" t="s">
        <v>946</v>
      </c>
      <c r="B99" s="148" t="str">
        <f>HYPERLINK("https://uva.onlinejudge.org/index.php?option=com_onlinejudge&amp;Itemid=8&amp;page=show_problem&amp;problem=774","UVA 833")</f>
        <v>UVA 833</v>
      </c>
      <c r="C99" s="10"/>
      <c r="D99" s="191"/>
      <c r="E99" s="191"/>
      <c r="F99" s="10"/>
      <c r="G99" s="10"/>
      <c r="H99" s="10"/>
      <c r="I99" s="67">
        <f t="shared" si="0"/>
        <v>0</v>
      </c>
      <c r="J99" s="10"/>
      <c r="K99" s="10"/>
    </row>
    <row r="100" spans="1:13" ht="12.5">
      <c r="A100" s="79" t="s">
        <v>947</v>
      </c>
      <c r="B100" s="148" t="str">
        <f>HYPERLINK("https://uva.onlinejudge.org/index.php?option=com_onlinejudge&amp;Itemid=8&amp;page=show_problem&amp;problem=1647","UVA 10706")</f>
        <v>UVA 10706</v>
      </c>
      <c r="C100" s="10"/>
      <c r="D100" s="191"/>
      <c r="E100" s="191"/>
      <c r="F100" s="10"/>
      <c r="G100" s="10"/>
      <c r="H100" s="10"/>
      <c r="I100" s="67">
        <f t="shared" si="0"/>
        <v>0</v>
      </c>
      <c r="J100" s="10"/>
      <c r="K100" s="10"/>
      <c r="L100" s="10"/>
    </row>
    <row r="101" spans="1:13" ht="12.5">
      <c r="A101" s="79" t="s">
        <v>948</v>
      </c>
      <c r="B101" s="148" t="str">
        <f>HYPERLINK("https://uva.onlinejudge.org/index.php?option=com_onlinejudge&amp;Itemid=8&amp;page=show_problem&amp;problem=556","UVA 615")</f>
        <v>UVA 615</v>
      </c>
      <c r="C101" s="10"/>
      <c r="D101" s="191"/>
      <c r="E101" s="191"/>
      <c r="F101" s="10"/>
      <c r="G101" s="10"/>
      <c r="H101" s="10"/>
      <c r="I101" s="67">
        <f t="shared" si="0"/>
        <v>0</v>
      </c>
      <c r="J101" s="10"/>
      <c r="K101" s="10"/>
      <c r="L101" s="10"/>
    </row>
    <row r="102" spans="1:13" ht="12.5">
      <c r="A102" s="221" t="s">
        <v>949</v>
      </c>
      <c r="B102" s="222" t="str">
        <f>HYPERLINK("http://www.spoj.com/problems/HELPR2D2","SPOJ HELPR2D2")</f>
        <v>SPOJ HELPR2D2</v>
      </c>
      <c r="C102" s="10"/>
      <c r="D102" s="191"/>
      <c r="E102" s="191"/>
      <c r="F102" s="10"/>
      <c r="G102" s="10"/>
      <c r="H102" s="10"/>
      <c r="I102" s="67">
        <f t="shared" si="0"/>
        <v>0</v>
      </c>
      <c r="J102" s="10"/>
      <c r="K102" s="10"/>
      <c r="L102" s="10"/>
    </row>
    <row r="103" spans="1:13" ht="12.5">
      <c r="A103" s="205"/>
      <c r="B103" s="223" t="str">
        <f>HYPERLINK("https://github.com/racsosabe/CompetitiveProgramming/blob/master/CodeForces/CF1016-D2-E.cpp","CF1016-D2-E")</f>
        <v>CF1016-D2-E</v>
      </c>
      <c r="C103" s="10"/>
      <c r="D103" s="191"/>
      <c r="E103" s="191"/>
      <c r="F103" s="10"/>
      <c r="G103" s="10"/>
      <c r="H103" s="10"/>
      <c r="I103" s="67">
        <f t="shared" si="0"/>
        <v>0</v>
      </c>
      <c r="J103" s="36"/>
      <c r="K103" s="36"/>
      <c r="L103" s="10"/>
    </row>
    <row r="104" spans="1:13" ht="12.5">
      <c r="A104" s="205"/>
      <c r="B104" s="205" t="s">
        <v>950</v>
      </c>
      <c r="C104" s="10"/>
      <c r="D104" s="191"/>
      <c r="E104" s="191"/>
      <c r="F104" s="10"/>
      <c r="G104" s="10"/>
      <c r="H104" s="10"/>
      <c r="I104" s="67">
        <f t="shared" si="0"/>
        <v>0</v>
      </c>
      <c r="J104" s="36"/>
      <c r="K104" s="36"/>
      <c r="L104" s="10"/>
      <c r="M104" s="130" t="str">
        <f>HYPERLINK("https://github.com/thackerhelik/UVA/blob/master/11997.cpp","Sol")</f>
        <v>Sol</v>
      </c>
    </row>
    <row r="105" spans="1:13" ht="12.5">
      <c r="A105" s="205"/>
      <c r="B105" s="223" t="str">
        <f>HYPERLINK("https://www.facebook.com/hackercup/problem/180494849326631/","FbHkrCup 18-R1-A")</f>
        <v>FbHkrCup 18-R1-A</v>
      </c>
      <c r="C105" s="10"/>
      <c r="D105" s="191"/>
      <c r="E105" s="191"/>
      <c r="F105" s="10"/>
      <c r="G105" s="10"/>
      <c r="H105" s="10"/>
      <c r="I105" s="67">
        <f t="shared" si="0"/>
        <v>0</v>
      </c>
      <c r="J105" s="36"/>
      <c r="K105" s="36"/>
      <c r="L105" s="10"/>
    </row>
    <row r="106" spans="1:13" ht="12.5">
      <c r="A106" s="205"/>
      <c r="B106" s="205" t="s">
        <v>951</v>
      </c>
      <c r="C106" s="10"/>
      <c r="D106" s="191"/>
      <c r="E106" s="191"/>
      <c r="F106" s="10"/>
      <c r="G106" s="10"/>
      <c r="H106" s="10"/>
      <c r="I106" s="67">
        <f t="shared" si="0"/>
        <v>0</v>
      </c>
      <c r="J106" s="36"/>
      <c r="K106" s="36"/>
      <c r="L106" s="10"/>
    </row>
    <row r="107" spans="1:13" ht="12.5">
      <c r="A107" s="224"/>
      <c r="B107" s="225"/>
      <c r="C107" s="10"/>
      <c r="D107" s="191"/>
      <c r="E107" s="191"/>
      <c r="F107" s="10"/>
      <c r="G107" s="10"/>
      <c r="H107" s="10"/>
      <c r="I107" s="67">
        <f t="shared" si="0"/>
        <v>0</v>
      </c>
      <c r="J107" s="36"/>
      <c r="K107" s="36"/>
      <c r="L107" s="10"/>
    </row>
    <row r="108" spans="1:13" ht="12.5">
      <c r="A108" s="46" t="s">
        <v>952</v>
      </c>
      <c r="B108" s="169" t="str">
        <f>HYPERLINK("http://codeforces.com/contest/443/problem/D","CF443-D2-D")</f>
        <v>CF443-D2-D</v>
      </c>
      <c r="C108" s="10"/>
      <c r="D108" s="191"/>
      <c r="E108" s="191"/>
      <c r="F108" s="10"/>
      <c r="G108" s="10"/>
      <c r="H108" s="10"/>
      <c r="I108" s="67">
        <f t="shared" si="0"/>
        <v>0</v>
      </c>
      <c r="J108" s="10"/>
      <c r="K108" s="10"/>
      <c r="M108" s="130" t="str">
        <f>HYPERLINK("http://codeforces.com/contest/443/submission/27060632","Sol")</f>
        <v>Sol</v>
      </c>
    </row>
    <row r="109" spans="1:13" ht="12.5">
      <c r="A109" s="56" t="s">
        <v>953</v>
      </c>
      <c r="B109" s="218" t="str">
        <f>HYPERLINK("http://codeforces.com/contest/581/problem/D","CF581-D2-D")</f>
        <v>CF581-D2-D</v>
      </c>
      <c r="C109" s="10"/>
      <c r="D109" s="191"/>
      <c r="E109" s="191"/>
      <c r="F109" s="10"/>
      <c r="G109" s="10"/>
      <c r="H109" s="10"/>
      <c r="I109" s="67">
        <f t="shared" si="0"/>
        <v>0</v>
      </c>
      <c r="J109" s="10"/>
      <c r="K109" s="10"/>
      <c r="L109" s="10"/>
      <c r="M109" s="10"/>
    </row>
    <row r="110" spans="1:13" ht="12.5">
      <c r="A110" s="56" t="s">
        <v>954</v>
      </c>
      <c r="B110" s="131" t="str">
        <f>HYPERLINK("http://codeforces.com/contest/265/problem/D","CF265-D2-D")</f>
        <v>CF265-D2-D</v>
      </c>
      <c r="C110" s="10"/>
      <c r="D110" s="191"/>
      <c r="E110" s="191"/>
      <c r="F110" s="10"/>
      <c r="G110" s="10"/>
      <c r="H110" s="10"/>
      <c r="I110" s="67">
        <f t="shared" si="0"/>
        <v>0</v>
      </c>
      <c r="J110" s="10"/>
      <c r="K110" s="10"/>
      <c r="L110" s="10"/>
      <c r="M110" s="10"/>
    </row>
    <row r="111" spans="1:13" ht="12.5">
      <c r="A111" s="150" t="s">
        <v>955</v>
      </c>
      <c r="B111" s="192" t="str">
        <f>HYPERLINK("http://codeforces.com/contest/116/problem/C","CF116-D2-C")</f>
        <v>CF116-D2-C</v>
      </c>
      <c r="C111" s="10"/>
      <c r="D111" s="191"/>
      <c r="E111" s="191"/>
      <c r="F111" s="10"/>
      <c r="G111" s="10"/>
      <c r="H111" s="10"/>
      <c r="I111" s="67">
        <f t="shared" si="0"/>
        <v>0</v>
      </c>
      <c r="J111" s="10"/>
      <c r="K111" s="10"/>
      <c r="L111" s="10"/>
      <c r="M111" s="10"/>
    </row>
    <row r="112" spans="1:13" ht="12.5">
      <c r="A112" s="150" t="s">
        <v>956</v>
      </c>
      <c r="B112" s="192" t="str">
        <f>HYPERLINK("http://codeforces.com/contest/342/problem/C","CF342-D2-C")</f>
        <v>CF342-D2-C</v>
      </c>
      <c r="C112" s="10"/>
      <c r="D112" s="191"/>
      <c r="E112" s="191"/>
      <c r="F112" s="10"/>
      <c r="G112" s="10"/>
      <c r="H112" s="10"/>
      <c r="I112" s="67">
        <f t="shared" si="0"/>
        <v>0</v>
      </c>
      <c r="J112" s="10"/>
      <c r="K112" s="10"/>
      <c r="L112" s="10"/>
      <c r="M112" s="10"/>
    </row>
    <row r="113" spans="1:13" ht="12.5">
      <c r="A113" s="150" t="s">
        <v>957</v>
      </c>
      <c r="B113" s="192" t="str">
        <f>HYPERLINK("http://codeforces.com/contest/233/problem/C","CF233-D2-C")</f>
        <v>CF233-D2-C</v>
      </c>
      <c r="C113" s="10"/>
      <c r="D113" s="191"/>
      <c r="E113" s="191"/>
      <c r="F113" s="10"/>
      <c r="G113" s="10"/>
      <c r="H113" s="10"/>
      <c r="I113" s="67">
        <f t="shared" si="0"/>
        <v>0</v>
      </c>
      <c r="J113" s="10"/>
      <c r="K113" s="10"/>
      <c r="L113" s="10"/>
      <c r="M113" s="10"/>
    </row>
    <row r="114" spans="1:13" ht="13">
      <c r="A114" s="10"/>
      <c r="B114" s="10"/>
      <c r="C114" s="10"/>
      <c r="D114" s="191"/>
      <c r="E114" s="191"/>
      <c r="F114" s="10"/>
      <c r="G114" s="10"/>
      <c r="H114" s="10"/>
      <c r="I114" s="67">
        <f t="shared" si="0"/>
        <v>0</v>
      </c>
      <c r="J114" s="10"/>
      <c r="K114" s="10"/>
      <c r="L114" s="10"/>
      <c r="M114" s="219" t="str">
        <f>HYPERLINK("https://www.youtube.com/watch?v=8aATaY9sdeE&amp;index=10&amp;list=PLPt2dINI2MIattDutu7IOAMlUuLeN8k2p&amp;t=3s","DP - Masks (2 vid)")</f>
        <v>DP - Masks (2 vid)</v>
      </c>
    </row>
    <row r="115" spans="1:13" ht="12.5">
      <c r="A115" s="226" t="s">
        <v>958</v>
      </c>
      <c r="B115" s="213" t="str">
        <f>HYPERLINK("https://uva.onlinejudge.org/index.php?option=com_onlinejudge&amp;Itemid=8&amp;page=show_problem&amp;problem=1592","UVA 10651")</f>
        <v>UVA 10651</v>
      </c>
      <c r="C115" s="10"/>
      <c r="D115" s="191"/>
      <c r="E115" s="191"/>
      <c r="F115" s="10"/>
      <c r="G115" s="10"/>
      <c r="H115" s="10"/>
      <c r="I115" s="67">
        <f t="shared" si="0"/>
        <v>0</v>
      </c>
      <c r="J115" s="10"/>
      <c r="K115" s="10"/>
      <c r="L115" s="10"/>
      <c r="M115" s="10"/>
    </row>
    <row r="116" spans="1:13" ht="12.5">
      <c r="A116" s="179" t="s">
        <v>959</v>
      </c>
      <c r="B116" s="213" t="str">
        <f>HYPERLINK("http://codeforces.com/contest/580/problem/D","CF580-D2-D")</f>
        <v>CF580-D2-D</v>
      </c>
      <c r="C116" s="10"/>
      <c r="D116" s="191"/>
      <c r="E116" s="191"/>
      <c r="F116" s="10"/>
      <c r="G116" s="10"/>
      <c r="H116" s="10"/>
      <c r="I116" s="67">
        <f t="shared" si="0"/>
        <v>0</v>
      </c>
      <c r="J116" s="10"/>
      <c r="K116" s="10"/>
      <c r="L116" s="10"/>
      <c r="M116" s="59" t="str">
        <f>HYPERLINK("https://www.youtube.com/watch?v=GvWLpm0tBEU&amp;index=29&amp;list=PLPSFnlxEu99Eds9cvJPk49sljXXvarTxM","Video Solution - Solver to be")</f>
        <v>Video Solution - Solver to be</v>
      </c>
    </row>
    <row r="117" spans="1:13" ht="12.5">
      <c r="A117" s="74" t="s">
        <v>920</v>
      </c>
      <c r="B117" s="213" t="str">
        <f>HYPERLINK("http://www.spoj.com/problems/PERMUT1/","SPOJ PERMUT1")</f>
        <v>SPOJ PERMUT1</v>
      </c>
      <c r="C117" s="10"/>
      <c r="D117" s="191"/>
      <c r="E117" s="191"/>
      <c r="F117" s="10"/>
      <c r="G117" s="10"/>
      <c r="H117" s="10"/>
      <c r="I117" s="67">
        <f t="shared" si="0"/>
        <v>0</v>
      </c>
      <c r="J117" s="10"/>
      <c r="K117" s="10"/>
      <c r="L117" s="10"/>
      <c r="M117" s="10"/>
    </row>
    <row r="118" spans="1:13" ht="12.5">
      <c r="A118" s="179" t="s">
        <v>960</v>
      </c>
      <c r="B118" s="213" t="str">
        <f>HYPERLINK("http://www.spoj.com/problems/ASSIGN/","SPOJ ASSIGN")</f>
        <v>SPOJ ASSIGN</v>
      </c>
      <c r="C118" s="10"/>
      <c r="D118" s="191"/>
      <c r="E118" s="191"/>
      <c r="F118" s="10"/>
      <c r="G118" s="10"/>
      <c r="H118" s="10"/>
      <c r="I118" s="67">
        <f t="shared" si="0"/>
        <v>0</v>
      </c>
      <c r="J118" s="10"/>
      <c r="K118" s="10"/>
      <c r="L118" s="10"/>
      <c r="M118" s="10"/>
    </row>
    <row r="119" spans="1:13" ht="12.5">
      <c r="A119" s="79"/>
      <c r="B119" s="148" t="str">
        <f>HYPERLINK("http://codeforces.com/contest/16/problem/E","CF16-D2-E")</f>
        <v>CF16-D2-E</v>
      </c>
      <c r="C119" s="10"/>
      <c r="D119" s="191"/>
      <c r="E119" s="191"/>
      <c r="F119" s="10"/>
      <c r="G119" s="10"/>
      <c r="H119" s="10"/>
      <c r="I119" s="67">
        <f t="shared" si="0"/>
        <v>0</v>
      </c>
      <c r="J119" s="10"/>
      <c r="K119" s="10"/>
      <c r="L119" s="10"/>
      <c r="M119" s="10"/>
    </row>
    <row r="120" spans="1:13" ht="12.5">
      <c r="A120" s="79" t="s">
        <v>961</v>
      </c>
      <c r="B120" s="148" t="str">
        <f>HYPERLINK("https://uva.onlinejudge.org/index.php?option=onlinejudge&amp;page=show_problem&amp;problem=1119","UVA 10178")</f>
        <v>UVA 10178</v>
      </c>
      <c r="C120" s="10"/>
      <c r="D120" s="191"/>
      <c r="E120" s="191"/>
      <c r="F120" s="10"/>
      <c r="G120" s="10"/>
      <c r="H120" s="10"/>
      <c r="I120" s="67">
        <f t="shared" si="0"/>
        <v>0</v>
      </c>
      <c r="J120" s="10"/>
      <c r="K120" s="10"/>
      <c r="L120" s="10"/>
      <c r="M120" s="132" t="str">
        <f>HYPERLINK("https://en.wikipedia.org/wiki/Planar_graph#Euler's_formula","Read first Euler Formula")</f>
        <v>Read first Euler Formula</v>
      </c>
    </row>
    <row r="121" spans="1:13" ht="12.5">
      <c r="A121" s="79" t="s">
        <v>962</v>
      </c>
      <c r="B121" s="148" t="str">
        <f>HYPERLINK("https://uva.onlinejudge.org/index.php?option=onlinejudge&amp;page=show_problem&amp;problem=1833","UVA 10892")</f>
        <v>UVA 10892</v>
      </c>
      <c r="C121" s="10"/>
      <c r="D121" s="10"/>
      <c r="E121" s="10"/>
      <c r="F121" s="10"/>
      <c r="G121" s="10"/>
      <c r="H121" s="10"/>
      <c r="I121" s="67">
        <f t="shared" si="0"/>
        <v>0</v>
      </c>
      <c r="J121" s="10"/>
      <c r="K121" s="10"/>
      <c r="L121" s="10"/>
      <c r="M121" s="10"/>
    </row>
    <row r="122" spans="1:13" ht="12.5">
      <c r="A122" s="79" t="s">
        <v>963</v>
      </c>
      <c r="B122" s="148" t="str">
        <f>HYPERLINK("http://codeforces.com/contest/645/problem/D","CF645-D12-D")</f>
        <v>CF645-D12-D</v>
      </c>
      <c r="C122" s="10"/>
      <c r="D122" s="191"/>
      <c r="E122" s="191"/>
      <c r="F122" s="10"/>
      <c r="G122" s="10"/>
      <c r="H122" s="10"/>
      <c r="I122" s="67">
        <f t="shared" si="0"/>
        <v>0</v>
      </c>
      <c r="J122" s="10"/>
      <c r="K122" s="10"/>
      <c r="L122" s="10"/>
    </row>
    <row r="123" spans="1:13" ht="12.5">
      <c r="A123" s="79" t="s">
        <v>964</v>
      </c>
      <c r="B123" s="148" t="str">
        <f>HYPERLINK("https://uva.onlinejudge.org/index.php?option=com_onlinejudge&amp;Itemid=8&amp;page=show_problem&amp;problem=1475","UVA 10534")</f>
        <v>UVA 10534</v>
      </c>
      <c r="C123" s="10"/>
      <c r="D123" s="10"/>
      <c r="E123" s="10"/>
      <c r="F123" s="10"/>
      <c r="G123" s="10"/>
      <c r="H123" s="10"/>
      <c r="I123" s="67">
        <f t="shared" si="0"/>
        <v>0</v>
      </c>
      <c r="J123" s="10"/>
      <c r="K123" s="10"/>
      <c r="L123" s="10"/>
      <c r="M123" s="131" t="str">
        <f>HYPERLINK("https://github.com/AliOsm/CompetitiveProgramming/blob/master/UVA/10534%20-%20Wavio%20Sequence.cpp","Sol")</f>
        <v>Sol</v>
      </c>
    </row>
    <row r="124" spans="1:13" ht="12.5">
      <c r="A124" s="79"/>
      <c r="B124" s="79" t="s">
        <v>965</v>
      </c>
      <c r="C124" s="10"/>
      <c r="D124" s="191"/>
      <c r="E124" s="191"/>
      <c r="F124" s="10"/>
      <c r="G124" s="10"/>
      <c r="H124" s="10"/>
      <c r="I124" s="67">
        <f t="shared" si="0"/>
        <v>0</v>
      </c>
      <c r="J124" s="10"/>
      <c r="K124" s="10"/>
      <c r="L124" s="10"/>
      <c r="M124" s="130" t="str">
        <f>HYPERLINK("https://ideone.com/x8zpRc","Sol - read the statement clarification")</f>
        <v>Sol - read the statement clarification</v>
      </c>
    </row>
    <row r="125" spans="1:13" ht="12.5">
      <c r="A125" s="46"/>
      <c r="B125" s="227"/>
      <c r="C125" s="10"/>
      <c r="D125" s="191"/>
      <c r="E125" s="191"/>
      <c r="F125" s="10"/>
      <c r="G125" s="10"/>
      <c r="H125" s="10"/>
      <c r="I125" s="67">
        <f t="shared" si="0"/>
        <v>0</v>
      </c>
      <c r="J125" s="36"/>
      <c r="K125" s="36"/>
      <c r="L125" s="10"/>
      <c r="M125" s="56"/>
    </row>
    <row r="126" spans="1:13" ht="12.5">
      <c r="A126" s="46" t="s">
        <v>966</v>
      </c>
      <c r="B126" s="120" t="str">
        <f>HYPERLINK("http://codeforces.com/contest/711/problem/D","CF711-D2-D")</f>
        <v>CF711-D2-D</v>
      </c>
      <c r="C126" s="10"/>
      <c r="D126" s="191"/>
      <c r="E126" s="191"/>
      <c r="F126" s="10"/>
      <c r="G126" s="10"/>
      <c r="H126" s="10"/>
      <c r="I126" s="67">
        <f t="shared" si="0"/>
        <v>0</v>
      </c>
      <c r="J126" s="36"/>
      <c r="K126" s="36"/>
      <c r="L126" s="10"/>
      <c r="M126" s="56"/>
    </row>
    <row r="127" spans="1:13" ht="12.5">
      <c r="A127" s="46" t="s">
        <v>967</v>
      </c>
      <c r="B127" s="61" t="str">
        <f>HYPERLINK("http://codeforces.com/contest/327/problem/D","CF327-D2-D")</f>
        <v>CF327-D2-D</v>
      </c>
      <c r="C127" s="10"/>
      <c r="D127" s="191"/>
      <c r="E127" s="191"/>
      <c r="F127" s="10"/>
      <c r="G127" s="10"/>
      <c r="H127" s="10"/>
      <c r="I127" s="67">
        <f t="shared" si="0"/>
        <v>0</v>
      </c>
      <c r="J127" s="36"/>
      <c r="K127" s="36"/>
      <c r="L127" s="10"/>
      <c r="M127" s="56"/>
    </row>
    <row r="128" spans="1:13" ht="12.5">
      <c r="A128" s="56" t="s">
        <v>968</v>
      </c>
      <c r="B128" s="63" t="str">
        <f>HYPERLINK("http://codeforces.com/contest/519/problem/D","CF519-D2-D")</f>
        <v>CF519-D2-D</v>
      </c>
      <c r="C128" s="10"/>
      <c r="D128" s="191"/>
      <c r="E128" s="191"/>
      <c r="F128" s="10"/>
      <c r="G128" s="10"/>
      <c r="H128" s="10"/>
      <c r="I128" s="67">
        <f t="shared" si="0"/>
        <v>0</v>
      </c>
      <c r="J128" s="10"/>
      <c r="K128" s="10"/>
      <c r="L128" s="10"/>
      <c r="M128" s="10"/>
    </row>
    <row r="129" spans="1:13" ht="12.5">
      <c r="A129" s="56" t="s">
        <v>969</v>
      </c>
      <c r="B129" s="63" t="str">
        <f>HYPERLINK("http://codeforces.com/contest/701/problem/D","CF701-D2-D")</f>
        <v>CF701-D2-D</v>
      </c>
      <c r="C129" s="10"/>
      <c r="D129" s="191"/>
      <c r="E129" s="191"/>
      <c r="F129" s="10"/>
      <c r="G129" s="10"/>
      <c r="H129" s="10"/>
      <c r="I129" s="67">
        <f t="shared" si="0"/>
        <v>0</v>
      </c>
      <c r="J129" s="10"/>
      <c r="K129" s="10"/>
      <c r="L129" s="10"/>
      <c r="M129" s="10"/>
    </row>
    <row r="130" spans="1:13" ht="12.5">
      <c r="A130" s="56" t="s">
        <v>970</v>
      </c>
      <c r="B130" s="63" t="str">
        <f>HYPERLINK("http://codeforces.com/contest/743/problem/D","CF743-D2-D")</f>
        <v>CF743-D2-D</v>
      </c>
      <c r="C130" s="10"/>
      <c r="D130" s="191"/>
      <c r="E130" s="191"/>
      <c r="F130" s="10"/>
      <c r="G130" s="10"/>
      <c r="H130" s="10"/>
      <c r="I130" s="67">
        <f t="shared" si="0"/>
        <v>0</v>
      </c>
      <c r="J130" s="10"/>
      <c r="K130" s="10"/>
      <c r="L130" s="10"/>
      <c r="M130" s="10"/>
    </row>
    <row r="131" spans="1:13" ht="12.5">
      <c r="A131" s="150" t="s">
        <v>971</v>
      </c>
      <c r="B131" s="211" t="str">
        <f>HYPERLINK("http://codeforces.com/contest/25/problem/C","CF25-D2-C")</f>
        <v>CF25-D2-C</v>
      </c>
      <c r="C131" s="10"/>
      <c r="D131" s="191"/>
      <c r="E131" s="191"/>
      <c r="F131" s="10"/>
      <c r="G131" s="10"/>
      <c r="H131" s="10"/>
      <c r="I131" s="67">
        <f t="shared" si="0"/>
        <v>0</v>
      </c>
      <c r="J131" s="10"/>
      <c r="K131" s="10"/>
      <c r="L131" s="10"/>
      <c r="M131" s="10"/>
    </row>
    <row r="132" spans="1:13" ht="12.5">
      <c r="A132" s="150" t="s">
        <v>972</v>
      </c>
      <c r="B132" s="211" t="str">
        <f>HYPERLINK("http://codeforces.com/contest/203/problem/C","CF203-D2-C")</f>
        <v>CF203-D2-C</v>
      </c>
      <c r="C132" s="10"/>
      <c r="D132" s="191"/>
      <c r="E132" s="191"/>
      <c r="F132" s="10"/>
      <c r="G132" s="10"/>
      <c r="H132" s="10"/>
      <c r="I132" s="67">
        <f t="shared" si="0"/>
        <v>0</v>
      </c>
      <c r="J132" s="10"/>
      <c r="K132" s="10"/>
      <c r="L132" s="10"/>
      <c r="M132" s="10"/>
    </row>
    <row r="133" spans="1:13" ht="12.5">
      <c r="A133" s="150" t="s">
        <v>973</v>
      </c>
      <c r="B133" s="211" t="str">
        <f>HYPERLINK("http://codeforces.com/contest/236/problem/C","CF236-D2-C")</f>
        <v>CF236-D2-C</v>
      </c>
      <c r="C133" s="10"/>
      <c r="D133" s="191"/>
      <c r="E133" s="191"/>
      <c r="F133" s="10"/>
      <c r="G133" s="10"/>
      <c r="H133" s="10"/>
      <c r="I133" s="67">
        <f t="shared" si="0"/>
        <v>0</v>
      </c>
      <c r="J133" s="10"/>
      <c r="K133" s="10"/>
      <c r="L133" s="10"/>
      <c r="M133" s="10"/>
    </row>
    <row r="134" spans="1:13" ht="13">
      <c r="A134" s="228"/>
      <c r="B134" s="10"/>
      <c r="C134" s="10"/>
      <c r="D134" s="191"/>
      <c r="E134" s="191"/>
      <c r="F134" s="10"/>
      <c r="G134" s="10"/>
      <c r="H134" s="10"/>
      <c r="I134" s="67">
        <f t="shared" si="0"/>
        <v>0</v>
      </c>
      <c r="J134" s="10"/>
      <c r="K134" s="10"/>
      <c r="L134" s="10"/>
      <c r="M134" s="219" t="str">
        <f>HYPERLINK("https://www.youtube.com/watch?v=IGaJWl0jPY4","String Processing - Trie")</f>
        <v>String Processing - Trie</v>
      </c>
    </row>
    <row r="135" spans="1:13" ht="12.5">
      <c r="A135" s="229" t="s">
        <v>974</v>
      </c>
      <c r="B135" s="213" t="str">
        <f>HYPERLINK("http://www.spoj.com/problems/DICT/","SPOJ DICT")</f>
        <v>SPOJ DICT</v>
      </c>
      <c r="C135" s="10"/>
      <c r="D135" s="191"/>
      <c r="E135" s="191"/>
      <c r="F135" s="10"/>
      <c r="G135" s="10"/>
      <c r="H135" s="10"/>
      <c r="I135" s="67">
        <f t="shared" si="0"/>
        <v>0</v>
      </c>
      <c r="J135" s="10"/>
      <c r="K135" s="10"/>
      <c r="L135" s="10"/>
      <c r="M135" s="10"/>
    </row>
    <row r="136" spans="1:13" ht="12.5">
      <c r="A136" s="229" t="s">
        <v>975</v>
      </c>
      <c r="B136" s="213" t="str">
        <f>HYPERLINK("https://uva.onlinejudge.org/index.php?option=com_onlinejudge&amp;Itemid=8&amp;page=show_problem&amp;problem=4331","UVA 1556")</f>
        <v>UVA 1556</v>
      </c>
      <c r="C136" s="10"/>
      <c r="D136" s="191"/>
      <c r="E136" s="191"/>
      <c r="F136" s="10"/>
      <c r="G136" s="10"/>
      <c r="H136" s="10"/>
      <c r="I136" s="67">
        <f t="shared" si="0"/>
        <v>0</v>
      </c>
      <c r="J136" s="10"/>
      <c r="K136" s="10"/>
      <c r="L136" s="10"/>
      <c r="M136" s="10"/>
    </row>
    <row r="137" spans="1:13" ht="12.5">
      <c r="A137" s="229" t="s">
        <v>976</v>
      </c>
      <c r="B137" s="213" t="str">
        <f>HYPERLINK("http://www.spoj.com/problems/PHONELST/","SPOJ PHONELST")</f>
        <v>SPOJ PHONELST</v>
      </c>
      <c r="C137" s="10"/>
      <c r="D137" s="191"/>
      <c r="E137" s="191"/>
      <c r="F137" s="10"/>
      <c r="G137" s="10"/>
      <c r="H137" s="10"/>
      <c r="I137" s="67">
        <f t="shared" si="0"/>
        <v>0</v>
      </c>
      <c r="J137" s="10"/>
      <c r="K137" s="10"/>
      <c r="L137" s="10"/>
      <c r="M137" s="10"/>
    </row>
    <row r="138" spans="1:13" ht="12.5">
      <c r="A138" s="229" t="s">
        <v>977</v>
      </c>
      <c r="B138" s="213" t="str">
        <f>HYPERLINK("https://uva.onlinejudge.org/index.php?option=com_onlinejudge&amp;Itemid=8&amp;page=show_problem&amp;problem=3971","UVA 12526")</f>
        <v>UVA 12526</v>
      </c>
      <c r="C138" s="10"/>
      <c r="D138" s="191"/>
      <c r="E138" s="191"/>
      <c r="F138" s="10"/>
      <c r="G138" s="10"/>
      <c r="H138" s="10"/>
      <c r="I138" s="67">
        <f t="shared" si="0"/>
        <v>0</v>
      </c>
      <c r="J138" s="10"/>
      <c r="K138" s="10"/>
      <c r="L138" s="10"/>
      <c r="M138" s="10"/>
    </row>
    <row r="139" spans="1:13" ht="12.5">
      <c r="A139" s="74" t="s">
        <v>978</v>
      </c>
      <c r="B139" s="213" t="str">
        <f>HYPERLINK("http://codeforces.com/contest/706/problem/D","CF706-D2-D")</f>
        <v>CF706-D2-D</v>
      </c>
      <c r="C139" s="10"/>
      <c r="D139" s="191"/>
      <c r="E139" s="191"/>
      <c r="F139" s="10"/>
      <c r="G139" s="10"/>
      <c r="H139" s="10"/>
      <c r="I139" s="67">
        <f t="shared" si="0"/>
        <v>0</v>
      </c>
      <c r="J139" s="10"/>
      <c r="K139" s="10"/>
      <c r="L139" s="10"/>
      <c r="M139" s="10"/>
    </row>
    <row r="140" spans="1:13" ht="12.5">
      <c r="A140" s="79" t="s">
        <v>979</v>
      </c>
      <c r="B140" s="148" t="str">
        <f>HYPERLINK("https://uva.onlinejudge.org/index.php?option=onlinejudge&amp;page=show_problem&amp;problem=1054","UVA 10113")</f>
        <v>UVA 10113</v>
      </c>
      <c r="C140" s="10"/>
      <c r="D140" s="191"/>
      <c r="E140" s="191"/>
      <c r="F140" s="10"/>
      <c r="G140" s="10"/>
      <c r="H140" s="10"/>
      <c r="I140" s="67">
        <f t="shared" si="0"/>
        <v>0</v>
      </c>
      <c r="J140" s="10"/>
      <c r="K140" s="10"/>
      <c r="L140" s="10"/>
      <c r="M140" s="10"/>
    </row>
    <row r="141" spans="1:13" ht="12.5">
      <c r="A141" s="79" t="s">
        <v>980</v>
      </c>
      <c r="B141" s="148" t="str">
        <f>HYPERLINK("https://uva.onlinejudge.org/index.php?option=com_onlinejudge&amp;Itemid=8&amp;page=show_problem&amp;problem=668","UVA 727")</f>
        <v>UVA 727</v>
      </c>
      <c r="C141" s="10"/>
      <c r="D141" s="10"/>
      <c r="E141" s="10"/>
      <c r="F141" s="10"/>
      <c r="G141" s="10"/>
      <c r="H141" s="10"/>
      <c r="I141" s="67">
        <f t="shared" si="0"/>
        <v>0</v>
      </c>
      <c r="J141" s="10"/>
      <c r="K141" s="10"/>
      <c r="L141" s="10"/>
      <c r="M141" s="10"/>
    </row>
    <row r="142" spans="1:13" ht="12.5">
      <c r="A142" s="79" t="s">
        <v>981</v>
      </c>
      <c r="B142" s="148" t="str">
        <f>HYPERLINK("http://codeforces.com/contest/47/problem/D","CF47-D2-D")</f>
        <v>CF47-D2-D</v>
      </c>
      <c r="C142" s="10"/>
      <c r="D142" s="10"/>
      <c r="E142" s="10"/>
      <c r="F142" s="10"/>
      <c r="G142" s="10"/>
      <c r="H142" s="10"/>
      <c r="I142" s="67">
        <f t="shared" si="0"/>
        <v>0</v>
      </c>
      <c r="J142" s="10"/>
      <c r="K142" s="10"/>
      <c r="L142" s="10"/>
      <c r="M142" s="10"/>
    </row>
    <row r="143" spans="1:13" ht="12.5">
      <c r="A143" s="79" t="s">
        <v>982</v>
      </c>
      <c r="B143" s="148" t="str">
        <f>HYPERLINK("https://uva.onlinejudge.org/index.php?option=onlinejudge&amp;page=show_problem&amp;problem=3801","UVA 12379")</f>
        <v>UVA 12379</v>
      </c>
      <c r="C143" s="10"/>
      <c r="D143" s="191"/>
      <c r="E143" s="191"/>
      <c r="F143" s="10"/>
      <c r="G143" s="10"/>
      <c r="H143" s="10"/>
      <c r="I143" s="67">
        <f t="shared" si="0"/>
        <v>0</v>
      </c>
      <c r="J143" s="10"/>
      <c r="K143" s="10"/>
      <c r="L143" s="10"/>
      <c r="M143" s="130" t="str">
        <f>HYPERLINK("https://github.com/abdullaAshraf/Problem-Solving/blob/master/UVA/12379.cpp","Sol")</f>
        <v>Sol</v>
      </c>
    </row>
    <row r="144" spans="1:13" ht="12.5">
      <c r="A144" s="79" t="s">
        <v>983</v>
      </c>
      <c r="B144" s="148" t="str">
        <f>HYPERLINK("https://uva.onlinejudge.org/index.php?option=com_onlinejudge&amp;Itemid=8&amp;page=show_problem&amp;problem=89","UVA 153")</f>
        <v>UVA 153</v>
      </c>
      <c r="C144" s="10"/>
      <c r="D144" s="191"/>
      <c r="E144" s="191"/>
      <c r="F144" s="10"/>
      <c r="G144" s="10"/>
      <c r="H144" s="10"/>
      <c r="I144" s="67">
        <f t="shared" si="0"/>
        <v>0</v>
      </c>
      <c r="J144" s="10"/>
      <c r="K144" s="10"/>
      <c r="L144" s="10"/>
      <c r="M144" s="130" t="str">
        <f>HYPERLINK("https://github.com/ahmedcpbl/CompetitiveProgramming/blob/master/UVA/153.cpp","Sol")</f>
        <v>Sol</v>
      </c>
    </row>
    <row r="145" spans="1:13" ht="13">
      <c r="A145" s="10"/>
      <c r="B145" s="10"/>
      <c r="C145" s="10"/>
      <c r="D145" s="191"/>
      <c r="E145" s="191"/>
      <c r="F145" s="10"/>
      <c r="G145" s="10"/>
      <c r="H145" s="10"/>
      <c r="I145" s="67">
        <f t="shared" si="0"/>
        <v>0</v>
      </c>
      <c r="J145" s="10"/>
      <c r="K145" s="10"/>
      <c r="L145" s="10"/>
      <c r="M145" s="119" t="str">
        <f>HYPERLINK("https://www.youtube.com/watch?v=t-52tQ3vEgo","DP - Sub-rectangle style")</f>
        <v>DP - Sub-rectangle style</v>
      </c>
    </row>
    <row r="146" spans="1:13" ht="12.5">
      <c r="A146" s="229"/>
      <c r="B146" s="230" t="str">
        <f>HYPERLINK("https://uva.onlinejudge.org/index.php?option=onlinejudge&amp;page=show_problem&amp;problem=448","UVA 507")</f>
        <v>UVA 507</v>
      </c>
      <c r="C146" s="10"/>
      <c r="D146" s="191"/>
      <c r="E146" s="191"/>
      <c r="F146" s="10"/>
      <c r="G146" s="10"/>
      <c r="H146" s="10"/>
      <c r="I146" s="67">
        <f t="shared" si="0"/>
        <v>0</v>
      </c>
      <c r="J146" s="10"/>
      <c r="K146" s="10"/>
      <c r="L146" s="10"/>
      <c r="M146" s="10"/>
    </row>
    <row r="147" spans="1:13" ht="12.5">
      <c r="A147" s="229"/>
      <c r="B147" s="230" t="str">
        <f>HYPERLINK("https://uva.onlinejudge.org/index.php?option=com_onlinejudge&amp;Itemid=8&amp;page=show_problem&amp;problem=1608","UVA 10667")</f>
        <v>UVA 10667</v>
      </c>
      <c r="C147" s="10"/>
      <c r="D147" s="191"/>
      <c r="E147" s="191"/>
      <c r="F147" s="10"/>
      <c r="G147" s="10"/>
      <c r="H147" s="10"/>
      <c r="I147" s="67">
        <f t="shared" si="0"/>
        <v>0</v>
      </c>
      <c r="J147" s="10"/>
      <c r="K147" s="10"/>
      <c r="L147" s="10"/>
      <c r="M147" s="10"/>
    </row>
    <row r="148" spans="1:13" ht="12.5">
      <c r="A148" s="56"/>
      <c r="B148" s="63"/>
      <c r="C148" s="10"/>
      <c r="D148" s="191"/>
      <c r="E148" s="191"/>
      <c r="F148" s="10"/>
      <c r="G148" s="10"/>
      <c r="H148" s="10"/>
      <c r="I148" s="67">
        <f t="shared" si="0"/>
        <v>0</v>
      </c>
      <c r="J148" s="10"/>
      <c r="K148" s="10"/>
      <c r="L148" s="10"/>
      <c r="M148" s="10"/>
    </row>
    <row r="149" spans="1:13" ht="12.5">
      <c r="A149" s="56" t="s">
        <v>984</v>
      </c>
      <c r="B149" s="63" t="str">
        <f>HYPERLINK("http://codeforces.com/contest/96/problem/D","CF96-D2-D")</f>
        <v>CF96-D2-D</v>
      </c>
      <c r="C149" s="10"/>
      <c r="D149" s="191"/>
      <c r="E149" s="191"/>
      <c r="F149" s="10"/>
      <c r="G149" s="10"/>
      <c r="H149" s="10"/>
      <c r="I149" s="67">
        <f t="shared" si="0"/>
        <v>0</v>
      </c>
      <c r="J149" s="10"/>
      <c r="K149" s="10"/>
      <c r="L149" s="10"/>
      <c r="M149" s="10"/>
    </row>
    <row r="150" spans="1:13" ht="12.5">
      <c r="A150" s="56" t="s">
        <v>985</v>
      </c>
      <c r="B150" s="63" t="str">
        <f>HYPERLINK("http://codeforces.com/contest/606/problem/D","CF606-D2-D")</f>
        <v>CF606-D2-D</v>
      </c>
      <c r="C150" s="10"/>
      <c r="D150" s="191"/>
      <c r="E150" s="191"/>
      <c r="F150" s="10"/>
      <c r="G150" s="10"/>
      <c r="H150" s="10"/>
      <c r="I150" s="67">
        <f t="shared" si="0"/>
        <v>0</v>
      </c>
      <c r="J150" s="10"/>
      <c r="K150" s="10"/>
      <c r="L150" s="10"/>
      <c r="M150" s="10"/>
    </row>
    <row r="151" spans="1:13" ht="12.5">
      <c r="A151" s="56" t="s">
        <v>379</v>
      </c>
      <c r="B151" s="63" t="str">
        <f>HYPERLINK("http://codeforces.com/contest/448/problem/D","CF448-D2-D")</f>
        <v>CF448-D2-D</v>
      </c>
      <c r="C151" s="10"/>
      <c r="D151" s="191"/>
      <c r="E151" s="191"/>
      <c r="F151" s="10"/>
      <c r="G151" s="10"/>
      <c r="H151" s="10"/>
      <c r="I151" s="67">
        <f t="shared" si="0"/>
        <v>0</v>
      </c>
      <c r="J151" s="10"/>
      <c r="K151" s="10"/>
      <c r="L151" s="10"/>
      <c r="M151" s="70" t="str">
        <f>HYPERLINK("https://www.youtube.com/watch?v=up_Z5e9ZsCU","Video Solution - Solve to be (Java)")</f>
        <v>Video Solution - Solve to be (Java)</v>
      </c>
    </row>
    <row r="152" spans="1:13" ht="12.5">
      <c r="A152" s="56"/>
      <c r="B152" s="63" t="str">
        <f>HYPERLINK("http://codeforces.com/contest/486/problem/D","CF486-D2-D")</f>
        <v>CF486-D2-D</v>
      </c>
      <c r="C152" s="10"/>
      <c r="D152" s="191"/>
      <c r="E152" s="191"/>
      <c r="F152" s="10"/>
      <c r="G152" s="10"/>
      <c r="H152" s="10"/>
      <c r="I152" s="67">
        <f t="shared" si="0"/>
        <v>0</v>
      </c>
      <c r="J152" s="10"/>
      <c r="K152" s="10"/>
      <c r="L152" s="10"/>
      <c r="M152" s="70"/>
    </row>
    <row r="153" spans="1:13" ht="12.5">
      <c r="A153" s="56"/>
      <c r="B153" s="63" t="str">
        <f>HYPERLINK("http://codeforces.com/contest/1040/problem/D","CF1040-D2-D")</f>
        <v>CF1040-D2-D</v>
      </c>
      <c r="C153" s="10"/>
      <c r="D153" s="191"/>
      <c r="E153" s="191"/>
      <c r="F153" s="10"/>
      <c r="G153" s="10"/>
      <c r="H153" s="10"/>
      <c r="I153" s="67">
        <f t="shared" si="0"/>
        <v>0</v>
      </c>
      <c r="J153" s="10"/>
      <c r="K153" s="10"/>
      <c r="L153" s="10"/>
      <c r="M153" s="70"/>
    </row>
    <row r="154" spans="1:13" ht="12.5">
      <c r="A154" s="56"/>
      <c r="B154" s="63" t="str">
        <f>HYPERLINK("http://codeforces.com/contest/264/problem/C","CF264-D1-C")</f>
        <v>CF264-D1-C</v>
      </c>
      <c r="C154" s="10"/>
      <c r="D154" s="191"/>
      <c r="E154" s="191"/>
      <c r="F154" s="10"/>
      <c r="G154" s="10"/>
      <c r="H154" s="10"/>
      <c r="I154" s="67">
        <f t="shared" si="0"/>
        <v>0</v>
      </c>
      <c r="J154" s="10"/>
      <c r="K154" s="10"/>
      <c r="L154" s="10"/>
      <c r="M154" s="70"/>
    </row>
    <row r="155" spans="1:13" ht="12.5">
      <c r="A155" s="56"/>
      <c r="B155" s="63" t="str">
        <f>HYPERLINK("http://codeforces.com/contest/506/problem/A", "CF506-D1-A")</f>
        <v>CF506-D1-A</v>
      </c>
      <c r="C155" s="10"/>
      <c r="D155" s="191"/>
      <c r="E155" s="191"/>
      <c r="F155" s="10"/>
      <c r="G155" s="10"/>
      <c r="H155" s="10"/>
      <c r="I155" s="67">
        <f t="shared" si="0"/>
        <v>0</v>
      </c>
      <c r="J155" s="10"/>
      <c r="K155" s="10"/>
      <c r="L155" s="10"/>
      <c r="M155" s="70"/>
    </row>
    <row r="156" spans="1:13" ht="12.5">
      <c r="A156" s="56"/>
      <c r="B156" s="63" t="str">
        <f>HYPERLINK("https://www.codechef.com/problems/KSUM","CODECHEF KSUM")</f>
        <v>CODECHEF KSUM</v>
      </c>
      <c r="C156" s="10"/>
      <c r="D156" s="191"/>
      <c r="E156" s="191"/>
      <c r="F156" s="10"/>
      <c r="G156" s="10"/>
      <c r="H156" s="10"/>
      <c r="I156" s="67">
        <f t="shared" si="0"/>
        <v>0</v>
      </c>
      <c r="J156" s="10"/>
      <c r="K156" s="10"/>
      <c r="L156" s="10"/>
      <c r="M156" s="70"/>
    </row>
    <row r="157" spans="1:13" ht="12.5">
      <c r="A157" s="56"/>
      <c r="B157" s="63" t="str">
        <f>HYPERLINK("http://codeforces.com/contest/623/problem/B","CF623-D1-B")</f>
        <v>CF623-D1-B</v>
      </c>
      <c r="C157" s="10"/>
      <c r="D157" s="191"/>
      <c r="E157" s="191"/>
      <c r="F157" s="10"/>
      <c r="G157" s="10"/>
      <c r="H157" s="10"/>
      <c r="I157" s="67">
        <f t="shared" si="0"/>
        <v>0</v>
      </c>
      <c r="J157" s="10"/>
      <c r="K157" s="10"/>
      <c r="L157" s="10"/>
      <c r="M157" s="70"/>
    </row>
    <row r="158" spans="1:13" ht="25">
      <c r="A158" s="231" t="s">
        <v>986</v>
      </c>
      <c r="B158" s="211" t="str">
        <f>HYPERLINK("http://codeforces.com/contest/376/problem/C","CF376-D2-C")</f>
        <v>CF376-D2-C</v>
      </c>
      <c r="C158" s="10"/>
      <c r="D158" s="191"/>
      <c r="E158" s="191"/>
      <c r="F158" s="10"/>
      <c r="G158" s="10"/>
      <c r="H158" s="10"/>
      <c r="I158" s="67">
        <f t="shared" si="0"/>
        <v>0</v>
      </c>
      <c r="J158" s="10"/>
      <c r="K158" s="10"/>
      <c r="L158" s="10"/>
      <c r="M158" s="70"/>
    </row>
    <row r="159" spans="1:13" ht="12.5">
      <c r="A159" s="150" t="s">
        <v>987</v>
      </c>
      <c r="B159" s="211" t="str">
        <f>HYPERLINK("http://codeforces.com/contest/439/problem/C","CF439-D2-C")</f>
        <v>CF439-D2-C</v>
      </c>
      <c r="C159" s="10"/>
      <c r="D159" s="191"/>
      <c r="E159" s="191"/>
      <c r="F159" s="10"/>
      <c r="G159" s="10"/>
      <c r="H159" s="10"/>
      <c r="I159" s="67">
        <f t="shared" si="0"/>
        <v>0</v>
      </c>
      <c r="J159" s="10"/>
      <c r="K159" s="10"/>
      <c r="L159" s="10"/>
      <c r="M159" s="70"/>
    </row>
    <row r="160" spans="1:13" ht="12.5">
      <c r="A160" s="150" t="s">
        <v>988</v>
      </c>
      <c r="B160" s="211" t="str">
        <f>HYPERLINK("http://codeforces.com/contest/557/problem/C","CF557-D2-C")</f>
        <v>CF557-D2-C</v>
      </c>
      <c r="C160" s="10"/>
      <c r="D160" s="191"/>
      <c r="E160" s="191"/>
      <c r="F160" s="10"/>
      <c r="G160" s="10"/>
      <c r="H160" s="10"/>
      <c r="I160" s="67">
        <f t="shared" si="0"/>
        <v>0</v>
      </c>
      <c r="J160" s="10"/>
      <c r="K160" s="10"/>
      <c r="L160" s="10"/>
      <c r="M160" s="70"/>
    </row>
  </sheetData>
  <conditionalFormatting sqref="A145:B145 C3:C160">
    <cfRule type="containsText" dxfId="43" priority="17" operator="containsText" text="WA">
      <formula>NOT(ISERROR(SEARCH(("WA"),(C3))))</formula>
    </cfRule>
  </conditionalFormatting>
  <conditionalFormatting sqref="A145:B145">
    <cfRule type="cellIs" dxfId="42" priority="16" operator="equal">
      <formula>"AC"</formula>
    </cfRule>
  </conditionalFormatting>
  <conditionalFormatting sqref="C3:C160 A145:B145">
    <cfRule type="containsText" dxfId="41" priority="19" operator="containsText" text="TLE">
      <formula>NOT(ISERROR(SEARCH(("TLE"),(C3))))</formula>
    </cfRule>
    <cfRule type="containsText" dxfId="40" priority="21" operator="containsText" text="RTE">
      <formula>NOT(ISERROR(SEARCH(("RTE"),(C3))))</formula>
    </cfRule>
    <cfRule type="containsText" dxfId="39" priority="23" operator="containsText" text="CS">
      <formula>NOT(ISERROR(SEARCH(("CS"),(C3))))</formula>
    </cfRule>
  </conditionalFormatting>
  <conditionalFormatting sqref="C3:C160">
    <cfRule type="cellIs" dxfId="38" priority="9" operator="equal">
      <formula>"AC"</formula>
    </cfRule>
  </conditionalFormatting>
  <conditionalFormatting sqref="C30:C31">
    <cfRule type="containsText" dxfId="37" priority="1" operator="containsText" text="CS">
      <formula>NOT(ISERROR(SEARCH(("CS"),(C30))))</formula>
    </cfRule>
    <cfRule type="containsText" dxfId="36" priority="2" operator="containsText" text="RTE">
      <formula>NOT(ISERROR(SEARCH(("RTE"),(C30))))</formula>
    </cfRule>
    <cfRule type="containsText" dxfId="35" priority="3" operator="containsText" text="TLE">
      <formula>NOT(ISERROR(SEARCH(("TLE"),(C30))))</formula>
    </cfRule>
    <cfRule type="containsText" dxfId="34" priority="4" operator="containsText" text="WA">
      <formula>NOT(ISERROR(SEARCH(("WA"),(C30))))</formula>
    </cfRule>
    <cfRule type="containsText" dxfId="33" priority="5" operator="containsText" text="CS">
      <formula>NOT(ISERROR(SEARCH(("CS"),(C30))))</formula>
    </cfRule>
    <cfRule type="containsText" dxfId="32" priority="6" operator="containsText" text="RTE">
      <formula>NOT(ISERROR(SEARCH(("RTE"),(C30))))</formula>
    </cfRule>
    <cfRule type="containsText" dxfId="31" priority="7" operator="containsText" text="TLE">
      <formula>NOT(ISERROR(SEARCH(("TLE"),(C30))))</formula>
    </cfRule>
    <cfRule type="containsText" dxfId="30" priority="8" operator="containsText" text="WA">
      <formula>NOT(ISERROR(SEARCH(("WA"),(C30))))</formula>
    </cfRule>
  </conditionalFormatting>
  <conditionalFormatting sqref="K3:K30">
    <cfRule type="cellIs" dxfId="29" priority="10" operator="equal">
      <formula>"NO"</formula>
    </cfRule>
    <cfRule type="cellIs" dxfId="28" priority="11" operator="equal">
      <formula>"no"</formula>
    </cfRule>
    <cfRule type="cellIs" dxfId="27" priority="12" operator="equal">
      <formula>"No"</formula>
    </cfRule>
  </conditionalFormatting>
  <conditionalFormatting sqref="K36 K40:K160">
    <cfRule type="cellIs" dxfId="26" priority="13" operator="equal">
      <formula>"No"</formula>
    </cfRule>
    <cfRule type="cellIs" dxfId="25" priority="14" operator="equal">
      <formula>"no"</formula>
    </cfRule>
    <cfRule type="cellIs" dxfId="24" priority="15" operator="equal">
      <formula>"NO"</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M158"/>
  <sheetViews>
    <sheetView workbookViewId="0">
      <pane ySplit="2" topLeftCell="A3" activePane="bottomLeft" state="frozen"/>
      <selection pane="bottomLeft" activeCell="B4" sqref="B4"/>
    </sheetView>
  </sheetViews>
  <sheetFormatPr defaultColWidth="15.1796875" defaultRowHeight="15.75" customHeight="1"/>
  <cols>
    <col min="1" max="1" width="13.7265625" customWidth="1"/>
    <col min="2" max="2" width="17.453125" customWidth="1"/>
    <col min="3" max="3" width="6" customWidth="1"/>
    <col min="4" max="4" width="6.7265625" customWidth="1"/>
    <col min="5" max="5" width="7.453125" customWidth="1"/>
    <col min="6" max="6" width="7.54296875" customWidth="1"/>
    <col min="7" max="7" width="8.7265625" customWidth="1"/>
    <col min="8" max="9" width="7.453125" customWidth="1"/>
    <col min="10" max="12" width="8.7265625" customWidth="1"/>
    <col min="13" max="13" width="66" customWidth="1"/>
  </cols>
  <sheetData>
    <row r="1" spans="1:13" ht="15.75" customHeight="1">
      <c r="A1" s="108" t="s">
        <v>146</v>
      </c>
      <c r="B1" s="33" t="s">
        <v>147</v>
      </c>
      <c r="C1" s="32" t="s">
        <v>148</v>
      </c>
      <c r="D1" s="32" t="s">
        <v>149</v>
      </c>
      <c r="E1" s="32" t="s">
        <v>150</v>
      </c>
      <c r="F1" s="32" t="s">
        <v>151</v>
      </c>
      <c r="G1" s="32" t="s">
        <v>152</v>
      </c>
      <c r="H1" s="32" t="s">
        <v>153</v>
      </c>
      <c r="I1" s="32" t="s">
        <v>154</v>
      </c>
      <c r="J1" s="32" t="s">
        <v>155</v>
      </c>
      <c r="K1" s="32" t="s">
        <v>156</v>
      </c>
      <c r="L1" s="32" t="s">
        <v>157</v>
      </c>
      <c r="M1" s="34" t="s">
        <v>158</v>
      </c>
    </row>
    <row r="2" spans="1:13" ht="15.75" customHeight="1">
      <c r="A2" s="109"/>
      <c r="B2" s="10" t="s">
        <v>159</v>
      </c>
      <c r="C2" s="37">
        <f>COUNTIF(C3:C10540, "AC")</f>
        <v>0</v>
      </c>
      <c r="D2" s="37" t="e">
        <f ca="1">ROUND(SUMPRODUCT(D3:D10540,INT(EQ(C3:C10540, "AC")))/MAX(1, C2),1)</f>
        <v>#NAME?</v>
      </c>
      <c r="E2" s="37" t="e">
        <f ca="1">ROUND(SUMPRODUCT(E3:E10562,INT(EQ(C3:C10562, "AC")))/MAX(1, C2),0)</f>
        <v>#NAME?</v>
      </c>
      <c r="F2" s="37" t="e">
        <f ca="1">ROUND(SUMPRODUCT(F3:F10565,INT(EQ(C3:C10565, "AC")))/MAX(1, C2),0)</f>
        <v>#NAME?</v>
      </c>
      <c r="G2" s="37" t="e">
        <f ca="1">ROUND(SUMPRODUCT(G3:G10565,INT(EQ(C3:C10565, "AC")))/MAX(1, C2),0)</f>
        <v>#NAME?</v>
      </c>
      <c r="H2" s="37" t="e">
        <f ca="1">ROUND(SUMPRODUCT(H3:H10565,INT(EQ(C3:C10565, "AC")))/MAX(1, C2),0)</f>
        <v>#NAME?</v>
      </c>
      <c r="I2" s="37" t="e">
        <f ca="1">ROUND(SUMPRODUCT(I3:I10537,INT(EQ(C3:C10537, "AC")))/MAX(1, C2),0)</f>
        <v>#NAME?</v>
      </c>
      <c r="J2" s="37" t="e">
        <f ca="1">ROUND(SUMPRODUCT(J3:J10535,INT(EQ(C3:C10535, "AC")))/MAX(1, C2),1)</f>
        <v>#NAME?</v>
      </c>
      <c r="K2" s="37" t="e">
        <f ca="1">SUMPRODUCT(EQ(K3:K10540, "YES"),INT(EQ(C3:C10565, "AC")))</f>
        <v>#NAME?</v>
      </c>
      <c r="L2" s="38">
        <f ca="1">IFERROR(__xludf.DUMMYFUNCTION("COUNTA(FILTER(C3:C10032, NOT(REGEXMATCH(C3:C10032, ""AC""))))"),0)</f>
        <v>0</v>
      </c>
      <c r="M2" s="39">
        <f ca="1">IFERROR(__xludf.DUMMYFUNCTION("COUNTA(FILTER(C3:C10027, NOT(REGEXMATCH(C3:C10027, ""AC""))))"),0)</f>
        <v>0</v>
      </c>
    </row>
    <row r="3" spans="1:13" ht="15.75" customHeight="1">
      <c r="A3" s="56"/>
      <c r="B3" s="56"/>
      <c r="C3" s="67"/>
      <c r="D3" s="67"/>
      <c r="E3" s="67"/>
      <c r="F3" s="67"/>
      <c r="G3" s="67"/>
      <c r="H3" s="67"/>
      <c r="I3" s="36">
        <f t="shared" ref="I3:I158" si="0">SUM(E3:H3)</f>
        <v>0</v>
      </c>
      <c r="J3" s="36"/>
      <c r="K3" s="36"/>
      <c r="L3" s="67"/>
      <c r="M3" s="194" t="str">
        <f>HYPERLINK("https://www.youtube.com/watch?v=vjxLlFTKhrU&amp;index=2&amp;list=PLPt2dINI2MIYrtHBahPW16S-Wz9wx24Nc","String Processing - KMP (2 vid)")</f>
        <v>String Processing - KMP (2 vid)</v>
      </c>
    </row>
    <row r="4" spans="1:13" ht="15.75" customHeight="1">
      <c r="A4" s="232" t="s">
        <v>989</v>
      </c>
      <c r="B4" s="233" t="str">
        <f>HYPERLINK("http://poj.org/problem?id=3461","PKU 3461")</f>
        <v>PKU 3461</v>
      </c>
      <c r="C4" s="67"/>
      <c r="D4" s="67"/>
      <c r="E4" s="67"/>
      <c r="F4" s="67"/>
      <c r="G4" s="67"/>
      <c r="H4" s="67"/>
      <c r="I4" s="36">
        <f t="shared" si="0"/>
        <v>0</v>
      </c>
      <c r="J4" s="36"/>
      <c r="K4" s="36"/>
      <c r="L4" s="10"/>
      <c r="M4" s="56"/>
    </row>
    <row r="5" spans="1:13" ht="15.75" customHeight="1">
      <c r="A5" s="179" t="s">
        <v>990</v>
      </c>
      <c r="B5" s="233" t="str">
        <f>HYPERLINK("http://www.spoj.com/problems/NHAY","SPOJ NHAY")</f>
        <v>SPOJ NHAY</v>
      </c>
      <c r="C5" s="67"/>
      <c r="D5" s="67"/>
      <c r="E5" s="67"/>
      <c r="F5" s="67"/>
      <c r="G5" s="67"/>
      <c r="H5" s="67"/>
      <c r="I5" s="36">
        <f t="shared" si="0"/>
        <v>0</v>
      </c>
      <c r="J5" s="36"/>
      <c r="K5" s="36"/>
      <c r="L5" s="10"/>
      <c r="M5" s="56"/>
    </row>
    <row r="6" spans="1:13" ht="15.75" customHeight="1">
      <c r="A6" s="229" t="s">
        <v>991</v>
      </c>
      <c r="B6" s="233" t="str">
        <f>HYPERLINK("http://www.spoj.com/problems/TESSER/","SPOJ TESSER")</f>
        <v>SPOJ TESSER</v>
      </c>
      <c r="C6" s="67"/>
      <c r="D6" s="67"/>
      <c r="E6" s="67"/>
      <c r="F6" s="67"/>
      <c r="G6" s="67"/>
      <c r="H6" s="67"/>
      <c r="I6" s="36">
        <f t="shared" si="0"/>
        <v>0</v>
      </c>
      <c r="J6" s="36"/>
      <c r="K6" s="36"/>
      <c r="L6" s="10"/>
      <c r="M6" s="56"/>
    </row>
    <row r="7" spans="1:13" ht="15.75" customHeight="1">
      <c r="A7" s="229" t="s">
        <v>992</v>
      </c>
      <c r="B7" s="233" t="str">
        <f>HYPERLINK("http://www.spoj.com/problems/PERIOD/","SPOJ PERIOD")</f>
        <v>SPOJ PERIOD</v>
      </c>
      <c r="C7" s="67"/>
      <c r="D7" s="67"/>
      <c r="E7" s="67"/>
      <c r="F7" s="67"/>
      <c r="G7" s="67"/>
      <c r="H7" s="67"/>
      <c r="I7" s="36">
        <f t="shared" si="0"/>
        <v>0</v>
      </c>
      <c r="J7" s="36"/>
      <c r="K7" s="36"/>
      <c r="M7" s="56"/>
    </row>
    <row r="8" spans="1:13" ht="15.75" customHeight="1">
      <c r="A8" s="232" t="s">
        <v>993</v>
      </c>
      <c r="B8" s="233" t="str">
        <f>HYPERLINK("http://codeforces.com/contest/432/problem/D","CF432-D2-D")</f>
        <v>CF432-D2-D</v>
      </c>
      <c r="C8" s="67"/>
      <c r="D8" s="67"/>
      <c r="E8" s="67"/>
      <c r="F8" s="67"/>
      <c r="G8" s="67"/>
      <c r="H8" s="67"/>
      <c r="I8" s="36">
        <f t="shared" si="0"/>
        <v>0</v>
      </c>
      <c r="J8" s="36"/>
      <c r="K8" s="36"/>
      <c r="L8" s="10"/>
      <c r="M8" s="56"/>
    </row>
    <row r="9" spans="1:13" ht="15.75" customHeight="1">
      <c r="A9" s="232" t="s">
        <v>994</v>
      </c>
      <c r="B9" s="233" t="str">
        <f>HYPERLINK("http://codeforces.com/contest/535/problem/D","CF535-D2-D")</f>
        <v>CF535-D2-D</v>
      </c>
      <c r="C9" s="67"/>
      <c r="D9" s="67"/>
      <c r="E9" s="67"/>
      <c r="F9" s="67"/>
      <c r="G9" s="67"/>
      <c r="H9" s="67"/>
      <c r="I9" s="36">
        <f t="shared" si="0"/>
        <v>0</v>
      </c>
      <c r="J9" s="36"/>
      <c r="K9" s="36"/>
      <c r="L9" s="10"/>
      <c r="M9" s="56"/>
    </row>
    <row r="10" spans="1:13" ht="15.75" customHeight="1">
      <c r="A10" s="234" t="s">
        <v>995</v>
      </c>
      <c r="B10" s="235" t="str">
        <f>HYPERLINK("https://uva.onlinejudge.org/index.php?option=onlinejudge&amp;page=show_problem&amp;problem=2096","UVA 11155")</f>
        <v>UVA 11155</v>
      </c>
      <c r="C10" s="67"/>
      <c r="D10" s="67"/>
      <c r="E10" s="67"/>
      <c r="F10" s="67"/>
      <c r="G10" s="67"/>
      <c r="H10" s="67"/>
      <c r="I10" s="36">
        <f t="shared" si="0"/>
        <v>0</v>
      </c>
      <c r="J10" s="36"/>
      <c r="K10" s="36"/>
      <c r="L10" s="10"/>
      <c r="M10" s="56"/>
    </row>
    <row r="11" spans="1:13" ht="15.75" customHeight="1">
      <c r="A11" s="234" t="s">
        <v>996</v>
      </c>
      <c r="B11" s="235" t="str">
        <f>HYPERLINK("http://www.spoj.com/problems/PT07X/","SPOJ PT07X")</f>
        <v>SPOJ PT07X</v>
      </c>
      <c r="C11" s="67"/>
      <c r="D11" s="67"/>
      <c r="E11" s="67"/>
      <c r="F11" s="67"/>
      <c r="G11" s="67"/>
      <c r="H11" s="67"/>
      <c r="I11" s="36">
        <f t="shared" si="0"/>
        <v>0</v>
      </c>
      <c r="J11" s="36"/>
      <c r="K11" s="36"/>
      <c r="L11" s="10"/>
      <c r="M11" s="147" t="str">
        <f>HYPERLINK("https://github.com/abdullaAshraf/Problem-Solving/blob/master/SPOJ/PT07X.cpp","Sol")</f>
        <v>Sol</v>
      </c>
    </row>
    <row r="12" spans="1:13" ht="15.75" customHeight="1">
      <c r="A12" s="79" t="s">
        <v>997</v>
      </c>
      <c r="B12" s="207" t="str">
        <f>HYPERLINK("http://codeforces.com/contest/54/problem/C","CF54-D12-C")</f>
        <v>CF54-D12-C</v>
      </c>
      <c r="C12" s="67"/>
      <c r="D12" s="67"/>
      <c r="E12" s="67"/>
      <c r="F12" s="67"/>
      <c r="G12" s="67"/>
      <c r="H12" s="67"/>
      <c r="I12" s="36">
        <f t="shared" si="0"/>
        <v>0</v>
      </c>
      <c r="J12" s="10"/>
      <c r="K12" s="10"/>
      <c r="L12" s="10"/>
      <c r="M12" s="46"/>
    </row>
    <row r="13" spans="1:13" ht="15.75" customHeight="1">
      <c r="A13" s="79"/>
      <c r="B13" s="215" t="str">
        <f>HYPERLINK("http://codeforces.com/contest/500/problem/D","CF500-D12-D")</f>
        <v>CF500-D12-D</v>
      </c>
      <c r="C13" s="67"/>
      <c r="D13" s="67"/>
      <c r="E13" s="67"/>
      <c r="F13" s="67"/>
      <c r="G13" s="67"/>
      <c r="H13" s="67"/>
      <c r="I13" s="36">
        <f t="shared" si="0"/>
        <v>0</v>
      </c>
      <c r="J13" s="10"/>
      <c r="K13" s="10"/>
      <c r="L13" s="10"/>
      <c r="M13" s="46"/>
    </row>
    <row r="14" spans="1:13" ht="15.75" customHeight="1">
      <c r="A14" s="79"/>
      <c r="B14" s="215" t="str">
        <f>HYPERLINK("https://www.hackerrank.com/challenges/vertical-sticks","HACKR vertical-sticks")</f>
        <v>HACKR vertical-sticks</v>
      </c>
      <c r="C14" s="67"/>
      <c r="D14" s="67"/>
      <c r="E14" s="67"/>
      <c r="F14" s="67"/>
      <c r="G14" s="67"/>
      <c r="H14" s="67"/>
      <c r="I14" s="36">
        <f t="shared" si="0"/>
        <v>0</v>
      </c>
      <c r="J14" s="10"/>
      <c r="K14" s="10"/>
      <c r="L14" s="10"/>
      <c r="M14" s="46"/>
    </row>
    <row r="15" spans="1:13" ht="15.75" customHeight="1">
      <c r="A15" s="79"/>
      <c r="B15" s="79" t="s">
        <v>998</v>
      </c>
      <c r="C15" s="67"/>
      <c r="D15" s="67"/>
      <c r="E15" s="67"/>
      <c r="F15" s="67"/>
      <c r="G15" s="67"/>
      <c r="H15" s="67"/>
      <c r="I15" s="36">
        <f t="shared" si="0"/>
        <v>0</v>
      </c>
      <c r="J15" s="10"/>
      <c r="K15" s="10"/>
      <c r="L15" s="10"/>
      <c r="M15" s="46"/>
    </row>
    <row r="16" spans="1:13" ht="15.75" customHeight="1">
      <c r="A16" s="79"/>
      <c r="B16" s="79" t="s">
        <v>999</v>
      </c>
      <c r="C16" s="67"/>
      <c r="D16" s="67"/>
      <c r="E16" s="67"/>
      <c r="F16" s="67"/>
      <c r="G16" s="67"/>
      <c r="H16" s="67"/>
      <c r="I16" s="36">
        <f t="shared" si="0"/>
        <v>0</v>
      </c>
      <c r="J16" s="10"/>
      <c r="K16" s="10"/>
      <c r="L16" s="10"/>
      <c r="M16" s="147" t="str">
        <f>HYPERLINK("https://github.com/mostafa-saad/MyCompetitiveProgramming/blob/master/UVA/UVA_1333.txt","Sol - Text/Background Clarification")</f>
        <v>Sol - Text/Background Clarification</v>
      </c>
    </row>
    <row r="17" spans="1:13" ht="15.75" customHeight="1">
      <c r="A17" s="79"/>
      <c r="B17" s="155" t="str">
        <f>HYPERLINK("http://codeforces.com/contest/842/problem/D","CF842-D2-D")</f>
        <v>CF842-D2-D</v>
      </c>
      <c r="C17" s="67"/>
      <c r="D17" s="67"/>
      <c r="E17" s="67"/>
      <c r="F17" s="67"/>
      <c r="G17" s="67"/>
      <c r="H17" s="67"/>
      <c r="I17" s="36">
        <f t="shared" si="0"/>
        <v>0</v>
      </c>
      <c r="J17" s="10"/>
      <c r="K17" s="10"/>
      <c r="L17" s="10"/>
      <c r="M17" s="46"/>
    </row>
    <row r="18" spans="1:13" ht="15.75" customHeight="1">
      <c r="A18" s="79"/>
      <c r="B18" s="155" t="str">
        <f>HYPERLINK("http://codeforces.com/contest/709/problem/D","CF709-D2-D")</f>
        <v>CF709-D2-D</v>
      </c>
      <c r="C18" s="67"/>
      <c r="D18" s="67"/>
      <c r="E18" s="67"/>
      <c r="F18" s="67"/>
      <c r="G18" s="67"/>
      <c r="H18" s="67"/>
      <c r="I18" s="36">
        <f t="shared" si="0"/>
        <v>0</v>
      </c>
      <c r="J18" s="10"/>
      <c r="K18" s="10"/>
      <c r="L18" s="10"/>
      <c r="M18" s="46"/>
    </row>
    <row r="19" spans="1:13" ht="15.75" customHeight="1">
      <c r="A19" s="79"/>
      <c r="B19" s="79" t="s">
        <v>1000</v>
      </c>
      <c r="C19" s="67"/>
      <c r="D19" s="67"/>
      <c r="E19" s="67"/>
      <c r="F19" s="67"/>
      <c r="G19" s="67"/>
      <c r="H19" s="67"/>
      <c r="I19" s="36">
        <f t="shared" si="0"/>
        <v>0</v>
      </c>
      <c r="J19" s="10"/>
      <c r="K19" s="10"/>
      <c r="L19" s="10"/>
      <c r="M19" s="147" t="str">
        <f>HYPERLINK("https://github.com/mostafa-saad/MyCompetitiveProgramming/blob/master/SPOJ/SPOJ_MSKYCODE.txt","Sol")</f>
        <v>Sol</v>
      </c>
    </row>
    <row r="20" spans="1:13" ht="15.75" customHeight="1">
      <c r="A20" s="79"/>
      <c r="B20" s="79" t="s">
        <v>1001</v>
      </c>
      <c r="C20" s="67"/>
      <c r="D20" s="67"/>
      <c r="E20" s="67"/>
      <c r="F20" s="67"/>
      <c r="G20" s="67"/>
      <c r="H20" s="67"/>
      <c r="I20" s="36">
        <f t="shared" si="0"/>
        <v>0</v>
      </c>
      <c r="J20" s="10"/>
      <c r="K20" s="10"/>
      <c r="L20" s="10"/>
      <c r="M20" s="147" t="str">
        <f>HYPERLINK("https://github.com/ahmed-osama-iv/CompetitiveProgramming/blob/master/LiveArchive/8015.cpp","Sol")</f>
        <v>Sol</v>
      </c>
    </row>
    <row r="21" spans="1:13" ht="15.75" customHeight="1">
      <c r="A21" s="46"/>
      <c r="B21" s="56"/>
      <c r="C21" s="67"/>
      <c r="D21" s="67"/>
      <c r="E21" s="67"/>
      <c r="F21" s="67"/>
      <c r="G21" s="67"/>
      <c r="H21" s="67"/>
      <c r="I21" s="36">
        <f t="shared" si="0"/>
        <v>0</v>
      </c>
      <c r="J21" s="36"/>
      <c r="K21" s="36"/>
      <c r="L21" s="10"/>
      <c r="M21" s="46"/>
    </row>
    <row r="22" spans="1:13" ht="15.75" customHeight="1">
      <c r="A22" s="46" t="s">
        <v>1002</v>
      </c>
      <c r="B22" s="120" t="str">
        <f>HYPERLINK("http://codeforces.com/contest/672/problem/D","CF672-D2-D")</f>
        <v>CF672-D2-D</v>
      </c>
      <c r="C22" s="67"/>
      <c r="D22" s="67"/>
      <c r="E22" s="67"/>
      <c r="F22" s="67"/>
      <c r="G22" s="67"/>
      <c r="H22" s="67"/>
      <c r="I22" s="36">
        <f t="shared" si="0"/>
        <v>0</v>
      </c>
      <c r="J22" s="36"/>
      <c r="K22" s="36"/>
      <c r="L22" s="10"/>
      <c r="M22" s="46"/>
    </row>
    <row r="23" spans="1:13" ht="15.75" customHeight="1">
      <c r="A23" s="46" t="s">
        <v>1003</v>
      </c>
      <c r="B23" s="120" t="str">
        <f>HYPERLINK("http://codeforces.com/contest/94/problem/D","CF94-D2-D")</f>
        <v>CF94-D2-D</v>
      </c>
      <c r="C23" s="67"/>
      <c r="D23" s="67"/>
      <c r="E23" s="67"/>
      <c r="F23" s="67"/>
      <c r="G23" s="67"/>
      <c r="H23" s="67"/>
      <c r="I23" s="36">
        <f t="shared" si="0"/>
        <v>0</v>
      </c>
      <c r="J23" s="36"/>
      <c r="K23" s="36"/>
      <c r="L23" s="10"/>
      <c r="M23" s="46"/>
    </row>
    <row r="24" spans="1:13" ht="15.75" customHeight="1">
      <c r="A24" s="46" t="s">
        <v>1004</v>
      </c>
      <c r="B24" s="120" t="str">
        <f>HYPERLINK("http://codeforces.com/contest/560/problem/D","CF560-D2-D")</f>
        <v>CF560-D2-D</v>
      </c>
      <c r="C24" s="67"/>
      <c r="D24" s="67"/>
      <c r="E24" s="67"/>
      <c r="F24" s="67"/>
      <c r="G24" s="67"/>
      <c r="H24" s="67"/>
      <c r="I24" s="36">
        <f t="shared" si="0"/>
        <v>0</v>
      </c>
      <c r="J24" s="36"/>
      <c r="K24" s="36"/>
      <c r="M24" s="147" t="str">
        <f>HYPERLINK("https://github.com/VAMPIER000001/CompetitiveProgramming/blob/6ffe2c80fe5aba2bf2d901503b96f1b90053462a/CF/CF560-D2-D(2).Cpp","Sol to learn")</f>
        <v>Sol to learn</v>
      </c>
    </row>
    <row r="25" spans="1:13" ht="15.75" customHeight="1">
      <c r="A25" s="46" t="s">
        <v>1005</v>
      </c>
      <c r="B25" s="120" t="str">
        <f>HYPERLINK("http://codeforces.com/contest/451/problem/D","CF451-D2-D")</f>
        <v>CF451-D2-D</v>
      </c>
      <c r="C25" s="67"/>
      <c r="D25" s="67"/>
      <c r="E25" s="67"/>
      <c r="F25" s="67"/>
      <c r="G25" s="67"/>
      <c r="H25" s="67"/>
      <c r="I25" s="36">
        <f t="shared" si="0"/>
        <v>0</v>
      </c>
      <c r="J25" s="36"/>
      <c r="K25" s="36"/>
      <c r="L25" s="10"/>
      <c r="M25" s="56"/>
    </row>
    <row r="26" spans="1:13" ht="15.75" customHeight="1">
      <c r="A26" s="46" t="s">
        <v>1006</v>
      </c>
      <c r="B26" s="120" t="str">
        <f>HYPERLINK("http://codeforces.com/contest/186/problem/D","CF186-D2-D")</f>
        <v>CF186-D2-D</v>
      </c>
      <c r="C26" s="67"/>
      <c r="D26" s="67"/>
      <c r="E26" s="67"/>
      <c r="F26" s="67"/>
      <c r="G26" s="67"/>
      <c r="H26" s="67"/>
      <c r="I26" s="36">
        <f t="shared" si="0"/>
        <v>0</v>
      </c>
      <c r="J26" s="36"/>
      <c r="K26" s="36"/>
      <c r="L26" s="10"/>
      <c r="M26" s="56"/>
    </row>
    <row r="27" spans="1:13" ht="15.75" customHeight="1">
      <c r="A27" s="46" t="s">
        <v>1007</v>
      </c>
      <c r="B27" s="120" t="str">
        <f>HYPERLINK("http://codeforces.com/contest/195/problem/D","CF195-D2-D")</f>
        <v>CF195-D2-D</v>
      </c>
      <c r="C27" s="67"/>
      <c r="D27" s="67"/>
      <c r="E27" s="67"/>
      <c r="F27" s="67"/>
      <c r="G27" s="67"/>
      <c r="H27" s="67"/>
      <c r="I27" s="36">
        <f t="shared" si="0"/>
        <v>0</v>
      </c>
      <c r="J27" s="36"/>
      <c r="K27" s="36"/>
      <c r="L27" s="10"/>
      <c r="M27" s="56"/>
    </row>
    <row r="28" spans="1:13" ht="15.75" customHeight="1">
      <c r="A28" s="46"/>
      <c r="B28" s="120" t="str">
        <f>HYPERLINK("http://codeforces.com/contest/1023/problem/E","CF1023-D12-E")</f>
        <v>CF1023-D12-E</v>
      </c>
      <c r="C28" s="67"/>
      <c r="D28" s="67"/>
      <c r="E28" s="67"/>
      <c r="F28" s="67"/>
      <c r="G28" s="67"/>
      <c r="H28" s="67"/>
      <c r="I28" s="36">
        <f t="shared" si="0"/>
        <v>0</v>
      </c>
      <c r="J28" s="36"/>
      <c r="K28" s="36"/>
      <c r="L28" s="10"/>
      <c r="M28" s="56"/>
    </row>
    <row r="29" spans="1:13" ht="15.75" customHeight="1">
      <c r="A29" s="46"/>
      <c r="B29" s="120" t="str">
        <f>HYPERLINK("https://codeforces.com/contest/1060/problem/C","CF1060-D12-C")</f>
        <v>CF1060-D12-C</v>
      </c>
      <c r="C29" s="67"/>
      <c r="D29" s="67"/>
      <c r="E29" s="67"/>
      <c r="F29" s="67"/>
      <c r="G29" s="67"/>
      <c r="H29" s="67"/>
      <c r="I29" s="36">
        <f t="shared" si="0"/>
        <v>0</v>
      </c>
      <c r="J29" s="36"/>
      <c r="K29" s="36"/>
      <c r="L29" s="10"/>
      <c r="M29" s="56"/>
    </row>
    <row r="30" spans="1:13" ht="15.75" customHeight="1">
      <c r="A30" s="150" t="s">
        <v>1008</v>
      </c>
      <c r="B30" s="192" t="str">
        <f>HYPERLINK("http://codeforces.com/contest/680/problem/C","CF680-D2-C")</f>
        <v>CF680-D2-C</v>
      </c>
      <c r="C30" s="67"/>
      <c r="D30" s="67"/>
      <c r="E30" s="67"/>
      <c r="F30" s="67"/>
      <c r="G30" s="67"/>
      <c r="H30" s="67"/>
      <c r="I30" s="36">
        <f t="shared" si="0"/>
        <v>0</v>
      </c>
      <c r="J30" s="10"/>
      <c r="K30" s="10"/>
      <c r="L30" s="10"/>
      <c r="M30" s="10"/>
    </row>
    <row r="31" spans="1:13" ht="15.75" customHeight="1">
      <c r="A31" s="150" t="s">
        <v>190</v>
      </c>
      <c r="B31" s="192" t="str">
        <f>HYPERLINK("http://codeforces.com/contest/401/problem/C","CF401-D2-C")</f>
        <v>CF401-D2-C</v>
      </c>
      <c r="C31" s="67"/>
      <c r="D31" s="67"/>
      <c r="E31" s="67"/>
      <c r="F31" s="67"/>
      <c r="G31" s="67"/>
      <c r="H31" s="67"/>
      <c r="I31" s="36">
        <f t="shared" si="0"/>
        <v>0</v>
      </c>
      <c r="J31" s="10"/>
      <c r="K31" s="10"/>
      <c r="L31" s="10"/>
      <c r="M31" s="10"/>
    </row>
    <row r="32" spans="1:13" ht="15.75" customHeight="1">
      <c r="A32" s="46"/>
      <c r="B32" s="56"/>
      <c r="C32" s="67"/>
      <c r="D32" s="67"/>
      <c r="E32" s="67"/>
      <c r="F32" s="67"/>
      <c r="G32" s="67"/>
      <c r="H32" s="67"/>
      <c r="I32" s="36">
        <f t="shared" si="0"/>
        <v>0</v>
      </c>
      <c r="J32" s="36"/>
      <c r="K32" s="36"/>
      <c r="L32" s="10"/>
      <c r="M32" s="194" t="str">
        <f>HYPERLINK("https://www.youtube.com/watch?v=X-cMRvuTGuM&amp;list=PLPt2dINI2MIattDutu7IOAMlUuLeN8k2p&amp;index=19","DP - Games (2 vid)")</f>
        <v>DP - Games (2 vid)</v>
      </c>
    </row>
    <row r="33" spans="1:13" ht="15.75" customHeight="1">
      <c r="A33" s="74" t="s">
        <v>1009</v>
      </c>
      <c r="B33" s="233" t="str">
        <f>HYPERLINK("https://uva.onlinejudge.org/index.php?option=com_onlinejudge&amp;Itemid=8&amp;page=show_problem&amp;problem=1345","UVA 10404")</f>
        <v>UVA 10404</v>
      </c>
      <c r="C33" s="67"/>
      <c r="D33" s="67"/>
      <c r="E33" s="67"/>
      <c r="F33" s="67"/>
      <c r="G33" s="67"/>
      <c r="H33" s="67"/>
      <c r="I33" s="36">
        <f t="shared" si="0"/>
        <v>0</v>
      </c>
      <c r="J33" s="36"/>
      <c r="K33" s="36"/>
      <c r="L33" s="10"/>
      <c r="M33" s="147" t="str">
        <f>HYPERLINK("https://github.com/VAMPIER000001/CompetitiveProgramming/blob/58946d0dcba06adfc2c5ec0b423546a6a0c6da9c/UVA/V-104/UVA%2010404.Cpp","Sol")</f>
        <v>Sol</v>
      </c>
    </row>
    <row r="34" spans="1:13" ht="15.75" customHeight="1">
      <c r="A34" s="236" t="str">
        <f>HYPERLINK("https://community.topcoder.com/stat?c=problem_statement&amp;pm=11791&amp;rd=14727","EllysCheckers")</f>
        <v>EllysCheckers</v>
      </c>
      <c r="B34" s="237" t="s">
        <v>1010</v>
      </c>
      <c r="C34" s="67"/>
      <c r="D34" s="67"/>
      <c r="E34" s="67"/>
      <c r="F34" s="67"/>
      <c r="G34" s="67"/>
      <c r="H34" s="67"/>
      <c r="I34" s="36">
        <f t="shared" si="0"/>
        <v>0</v>
      </c>
      <c r="J34" s="36"/>
      <c r="K34" s="36"/>
      <c r="L34" s="10"/>
      <c r="M34" s="56"/>
    </row>
    <row r="35" spans="1:13" ht="15.75" customHeight="1">
      <c r="A35" s="238" t="str">
        <f>HYPERLINK("https://community.topcoder.com/stat?c=problem_statement&amp;pm=11566&amp;rd=14547","RowAndCoins")</f>
        <v>RowAndCoins</v>
      </c>
      <c r="B35" s="239" t="s">
        <v>1011</v>
      </c>
      <c r="C35" s="67"/>
      <c r="D35" s="67"/>
      <c r="E35" s="67"/>
      <c r="F35" s="67"/>
      <c r="G35" s="67"/>
      <c r="H35" s="67"/>
      <c r="I35" s="36">
        <f t="shared" si="0"/>
        <v>0</v>
      </c>
      <c r="J35" s="36"/>
      <c r="K35" s="36"/>
      <c r="L35" s="10"/>
      <c r="M35" s="56"/>
    </row>
    <row r="36" spans="1:13" ht="15.75" customHeight="1">
      <c r="A36" s="238" t="str">
        <f>HYPERLINK("https://community.topcoder.com/stat?c=problem_statement&amp;pm=3491&amp;rd=6517","BagsOfGold")</f>
        <v>BagsOfGold</v>
      </c>
      <c r="B36" s="239" t="s">
        <v>1012</v>
      </c>
      <c r="C36" s="67"/>
      <c r="D36" s="67"/>
      <c r="E36" s="67"/>
      <c r="F36" s="67"/>
      <c r="G36" s="67"/>
      <c r="H36" s="67"/>
      <c r="I36" s="36">
        <f t="shared" si="0"/>
        <v>0</v>
      </c>
      <c r="J36" s="36"/>
      <c r="K36" s="36"/>
      <c r="L36" s="10"/>
      <c r="M36" s="56"/>
    </row>
    <row r="37" spans="1:13" ht="15.75" customHeight="1">
      <c r="A37" s="229" t="s">
        <v>1013</v>
      </c>
      <c r="B37" s="240" t="str">
        <f>HYPERLINK("http://codeforces.com/contest/148/problem/D","CF148-D2-D")</f>
        <v>CF148-D2-D</v>
      </c>
      <c r="C37" s="67"/>
      <c r="D37" s="67"/>
      <c r="E37" s="67"/>
      <c r="F37" s="67"/>
      <c r="G37" s="67"/>
      <c r="H37" s="67"/>
      <c r="I37" s="36">
        <f t="shared" si="0"/>
        <v>0</v>
      </c>
      <c r="J37" s="10"/>
      <c r="K37" s="10"/>
      <c r="L37" s="10"/>
      <c r="M37" s="10"/>
    </row>
    <row r="38" spans="1:13" ht="15.75" customHeight="1">
      <c r="A38" s="234"/>
      <c r="B38" s="235" t="str">
        <f>HYPERLINK("https://codeforces.com/contest/1147/problem/B", "CF1147-D1-B")</f>
        <v>CF1147-D1-B</v>
      </c>
      <c r="C38" s="67"/>
      <c r="D38" s="67"/>
      <c r="E38" s="67"/>
      <c r="F38" s="67"/>
      <c r="G38" s="67"/>
      <c r="H38" s="67"/>
      <c r="I38" s="36">
        <f t="shared" si="0"/>
        <v>0</v>
      </c>
      <c r="J38" s="36"/>
      <c r="K38" s="36"/>
      <c r="L38" s="10"/>
      <c r="M38" s="46"/>
    </row>
    <row r="39" spans="1:13" ht="15.75" customHeight="1">
      <c r="A39" s="234" t="s">
        <v>1014</v>
      </c>
      <c r="B39" s="235" t="str">
        <f>HYPERLINK("http://www.spoj.com/problems/MELE3/","SPOJ MELE3")</f>
        <v>SPOJ MELE3</v>
      </c>
      <c r="C39" s="67"/>
      <c r="D39" s="67"/>
      <c r="E39" s="67"/>
      <c r="F39" s="67"/>
      <c r="G39" s="67"/>
      <c r="H39" s="67"/>
      <c r="I39" s="36">
        <f t="shared" si="0"/>
        <v>0</v>
      </c>
      <c r="J39" s="36"/>
      <c r="K39" s="36"/>
      <c r="L39" s="10"/>
      <c r="M39" s="147" t="str">
        <f>HYPERLINK("https://github.com/VAMPIER000001/CompetitiveProgramming/blob/a5d714fa4de45e50f87306d421ec6c3c02026f76/Spoj/SPOJ%20MELE3.Cpp","Sol")</f>
        <v>Sol</v>
      </c>
    </row>
    <row r="40" spans="1:13" ht="12.5">
      <c r="A40" s="234" t="s">
        <v>1015</v>
      </c>
      <c r="B40" s="235" t="str">
        <f>HYPERLINK("http://www.spoj.com/problems/ROADS/en/","SPOJ ROADS")</f>
        <v>SPOJ ROADS</v>
      </c>
      <c r="C40" s="67"/>
      <c r="D40" s="67"/>
      <c r="E40" s="67"/>
      <c r="F40" s="67"/>
      <c r="G40" s="67"/>
      <c r="H40" s="67"/>
      <c r="I40" s="36">
        <f t="shared" si="0"/>
        <v>0</v>
      </c>
      <c r="J40" s="36"/>
      <c r="K40" s="36"/>
      <c r="L40" s="10"/>
      <c r="M40" s="147" t="str">
        <f>HYPERLINK("https://github.com/mostafa-saad/MyCompetitiveProgramming/blob/master/SPOJ/SPOJ_ROADS.txt","Sol")</f>
        <v>Sol</v>
      </c>
    </row>
    <row r="41" spans="1:13" ht="12.5">
      <c r="A41" s="234" t="s">
        <v>1016</v>
      </c>
      <c r="B41" s="235" t="str">
        <f>HYPERLINK("https://uva.onlinejudge.org/index.php?option=onlinejudge&amp;page=show_problem&amp;problem=1400","UVA 10459")</f>
        <v>UVA 10459</v>
      </c>
      <c r="C41" s="67"/>
      <c r="D41" s="67"/>
      <c r="E41" s="67"/>
      <c r="F41" s="67"/>
      <c r="G41" s="67"/>
      <c r="H41" s="67"/>
      <c r="I41" s="36">
        <f t="shared" si="0"/>
        <v>0</v>
      </c>
      <c r="J41" s="36"/>
      <c r="K41" s="36"/>
      <c r="L41" s="10"/>
      <c r="M41" s="147" t="str">
        <f>HYPERLINK("https://github.com/VAMPIER000001/CompetitiveProgramming/blob/master/UVA/V-104/UVA%2010459.Cpp","Sol")</f>
        <v>Sol</v>
      </c>
    </row>
    <row r="42" spans="1:13" ht="12.5">
      <c r="A42" s="234" t="s">
        <v>1017</v>
      </c>
      <c r="B42" s="235" t="str">
        <f>HYPERLINK("https://uva.onlinejudge.org/index.php?option=com_onlinejudge&amp;Itemid=8&amp;page=show_problem&amp;problem=3673","UVA 1232")</f>
        <v>UVA 1232</v>
      </c>
      <c r="C42" s="67"/>
      <c r="D42" s="67"/>
      <c r="E42" s="67"/>
      <c r="F42" s="67"/>
      <c r="G42" s="67"/>
      <c r="H42" s="67"/>
      <c r="I42" s="36">
        <f t="shared" si="0"/>
        <v>0</v>
      </c>
      <c r="J42" s="10"/>
      <c r="K42" s="10"/>
      <c r="M42" s="147" t="str">
        <f>HYPERLINK("https://github.com/mostafa-saad/MyCompetitiveProgramming/blob/master/UVA/UVA_1232.txt","Sol")</f>
        <v>Sol</v>
      </c>
    </row>
    <row r="43" spans="1:13" ht="12.5">
      <c r="A43" s="79" t="s">
        <v>1018</v>
      </c>
      <c r="B43" s="241" t="str">
        <f>HYPERLINK("http://www.spoj.com/problems/ORDERS/","SPOJ ORDERS")</f>
        <v>SPOJ ORDERS</v>
      </c>
      <c r="C43" s="67"/>
      <c r="D43" s="67"/>
      <c r="E43" s="67"/>
      <c r="F43" s="67"/>
      <c r="G43" s="67"/>
      <c r="H43" s="67"/>
      <c r="I43" s="36">
        <f t="shared" si="0"/>
        <v>0</v>
      </c>
      <c r="J43" s="10"/>
      <c r="K43" s="10"/>
      <c r="M43" s="147" t="str">
        <f>HYPERLINK("https://github.com/mostafa-saad/MyCompetitiveProgramming/blob/master/SPOJ/SPOJ_ORDERS.txt","Sol")</f>
        <v>Sol</v>
      </c>
    </row>
    <row r="44" spans="1:13" ht="12.5">
      <c r="A44" s="189" t="s">
        <v>1019</v>
      </c>
      <c r="B44" s="242" t="str">
        <f>HYPERLINK("http://codeforces.com/contest/268/problem/E","CF268-D2-E")</f>
        <v>CF268-D2-E</v>
      </c>
      <c r="C44" s="67"/>
      <c r="D44" s="67"/>
      <c r="E44" s="67"/>
      <c r="F44" s="67"/>
      <c r="G44" s="67"/>
      <c r="H44" s="67"/>
      <c r="I44" s="36">
        <f t="shared" si="0"/>
        <v>0</v>
      </c>
      <c r="J44" s="10"/>
      <c r="K44" s="10"/>
      <c r="M44" s="147" t="str">
        <f>HYPERLINK("https://github.com/3agwa/CompetitiveProgramming/blob/master/CodeForces/CF268-D2-E.cpp","Sol")</f>
        <v>Sol</v>
      </c>
    </row>
    <row r="45" spans="1:13" ht="12.5">
      <c r="A45" s="79"/>
      <c r="B45" s="189" t="s">
        <v>1020</v>
      </c>
      <c r="C45" s="67"/>
      <c r="D45" s="67"/>
      <c r="E45" s="67"/>
      <c r="F45" s="67"/>
      <c r="G45" s="67"/>
      <c r="H45" s="67"/>
      <c r="I45" s="36">
        <f t="shared" si="0"/>
        <v>0</v>
      </c>
      <c r="J45" s="10"/>
      <c r="K45" s="10"/>
      <c r="L45" s="10"/>
      <c r="M45" s="46"/>
    </row>
    <row r="46" spans="1:13" ht="12.5">
      <c r="A46" s="46"/>
      <c r="B46" s="56"/>
      <c r="C46" s="67"/>
      <c r="D46" s="67"/>
      <c r="E46" s="67"/>
      <c r="F46" s="67"/>
      <c r="G46" s="67"/>
      <c r="H46" s="67"/>
      <c r="I46" s="36">
        <f t="shared" si="0"/>
        <v>0</v>
      </c>
      <c r="J46" s="36"/>
      <c r="K46" s="36"/>
      <c r="L46" s="10"/>
      <c r="M46" s="56"/>
    </row>
    <row r="47" spans="1:13" ht="12.5">
      <c r="A47" s="56" t="s">
        <v>1021</v>
      </c>
      <c r="B47" s="243" t="str">
        <f>HYPERLINK("http://codeforces.com/contest/276/problem/D","CF276-D2-D")</f>
        <v>CF276-D2-D</v>
      </c>
      <c r="C47" s="67"/>
      <c r="D47" s="67"/>
      <c r="E47" s="67"/>
      <c r="F47" s="67"/>
      <c r="G47" s="67"/>
      <c r="H47" s="67"/>
      <c r="I47" s="36">
        <f t="shared" si="0"/>
        <v>0</v>
      </c>
      <c r="J47" s="10"/>
      <c r="K47" s="10"/>
      <c r="M47" s="244" t="str">
        <f>HYPERLINK("http://codeforces.com/blog/entry/6779","See editorials")</f>
        <v>See editorials</v>
      </c>
    </row>
    <row r="48" spans="1:13" ht="12.5">
      <c r="A48" s="46" t="s">
        <v>1022</v>
      </c>
      <c r="B48" s="243" t="str">
        <f>HYPERLINK("http://codeforces.com/contest/224/problem/D","CF224-D2-D")</f>
        <v>CF224-D2-D</v>
      </c>
      <c r="C48" s="67"/>
      <c r="D48" s="67"/>
      <c r="E48" s="67"/>
      <c r="F48" s="67"/>
      <c r="G48" s="67"/>
      <c r="H48" s="67"/>
      <c r="I48" s="36">
        <f t="shared" si="0"/>
        <v>0</v>
      </c>
      <c r="J48" s="36"/>
      <c r="K48" s="36"/>
      <c r="L48" s="10"/>
      <c r="M48" s="147" t="str">
        <f>HYPERLINK("https://github.com/abdullaAshraf/Problem-Solving/blob/master/CodeForces/CF224-D2-D.cpp","Sol")</f>
        <v>Sol</v>
      </c>
    </row>
    <row r="49" spans="1:13" ht="12.5">
      <c r="A49" s="46" t="s">
        <v>1023</v>
      </c>
      <c r="B49" s="243" t="str">
        <f>HYPERLINK("http://codeforces.com/contest/75/problem/D","CF75-D2-D")</f>
        <v>CF75-D2-D</v>
      </c>
      <c r="C49" s="67"/>
      <c r="D49" s="67"/>
      <c r="E49" s="67"/>
      <c r="F49" s="67"/>
      <c r="G49" s="67"/>
      <c r="H49" s="67"/>
      <c r="I49" s="36">
        <f t="shared" si="0"/>
        <v>0</v>
      </c>
      <c r="J49" s="36"/>
      <c r="K49" s="36"/>
      <c r="L49" s="10"/>
    </row>
    <row r="50" spans="1:13" ht="12.5">
      <c r="A50" s="46"/>
      <c r="B50" s="56" t="s">
        <v>1024</v>
      </c>
      <c r="C50" s="67"/>
      <c r="D50" s="67"/>
      <c r="E50" s="67"/>
      <c r="F50" s="67"/>
      <c r="G50" s="67"/>
      <c r="H50" s="67"/>
      <c r="I50" s="36">
        <f t="shared" si="0"/>
        <v>0</v>
      </c>
      <c r="J50" s="36"/>
      <c r="K50" s="36"/>
      <c r="L50" s="10"/>
      <c r="M50" s="130" t="str">
        <f>HYPERLINK("https://github.com/MedoN11/CompetitiveProgramming/blob/master/SPOJ/BRCKTS2.cpp","Sol")</f>
        <v>Sol</v>
      </c>
    </row>
    <row r="51" spans="1:13" ht="12.5">
      <c r="A51" s="46"/>
      <c r="B51" s="243" t="str">
        <f>HYPERLINK("https://codeforces.com/contest/1057/problem/C","CF1057-D12-C")</f>
        <v>CF1057-D12-C</v>
      </c>
      <c r="C51" s="67"/>
      <c r="D51" s="67"/>
      <c r="E51" s="67"/>
      <c r="F51" s="67"/>
      <c r="G51" s="67"/>
      <c r="H51" s="67"/>
      <c r="I51" s="36">
        <f t="shared" si="0"/>
        <v>0</v>
      </c>
      <c r="J51" s="36"/>
      <c r="K51" s="36"/>
      <c r="L51" s="10"/>
    </row>
    <row r="52" spans="1:13" ht="12.5">
      <c r="A52" s="46"/>
      <c r="B52" s="243" t="str">
        <f>HYPERLINK("https://codeforces.com/contest/1066/problem/F","CF1066-D3-F")</f>
        <v>CF1066-D3-F</v>
      </c>
      <c r="C52" s="67"/>
      <c r="D52" s="67"/>
      <c r="E52" s="67"/>
      <c r="F52" s="67"/>
      <c r="G52" s="67"/>
      <c r="H52" s="67"/>
      <c r="I52" s="36">
        <f t="shared" si="0"/>
        <v>0</v>
      </c>
      <c r="J52" s="36"/>
      <c r="K52" s="36"/>
      <c r="L52" s="10"/>
    </row>
    <row r="53" spans="1:13" ht="12.5">
      <c r="A53" s="46"/>
      <c r="B53" s="243" t="str">
        <f>HYPERLINK("https://codeforces.com/contest/1064/problem/E","CF1064-D2-E")</f>
        <v>CF1064-D2-E</v>
      </c>
      <c r="C53" s="67"/>
      <c r="D53" s="67"/>
      <c r="E53" s="67"/>
      <c r="F53" s="67"/>
      <c r="G53" s="67"/>
      <c r="H53" s="67"/>
      <c r="I53" s="36">
        <f t="shared" si="0"/>
        <v>0</v>
      </c>
      <c r="J53" s="36"/>
      <c r="K53" s="36"/>
      <c r="L53" s="10"/>
    </row>
    <row r="54" spans="1:13" ht="12.5">
      <c r="A54" s="46"/>
      <c r="B54" s="243" t="str">
        <f>HYPERLINK("http://codeforces.com/contest/459/problem/E","CF459-D2-E")</f>
        <v>CF459-D2-E</v>
      </c>
      <c r="C54" s="67"/>
      <c r="D54" s="67"/>
      <c r="E54" s="67"/>
      <c r="F54" s="67"/>
      <c r="G54" s="67"/>
      <c r="H54" s="67"/>
      <c r="I54" s="36">
        <f t="shared" si="0"/>
        <v>0</v>
      </c>
      <c r="J54" s="36"/>
      <c r="K54" s="36"/>
      <c r="L54" s="10"/>
    </row>
    <row r="55" spans="1:13" ht="12.5">
      <c r="A55" s="46"/>
      <c r="B55" s="56" t="s">
        <v>1025</v>
      </c>
      <c r="C55" s="67"/>
      <c r="D55" s="67"/>
      <c r="E55" s="67"/>
      <c r="F55" s="67"/>
      <c r="G55" s="67"/>
      <c r="H55" s="67"/>
      <c r="I55" s="36">
        <f t="shared" si="0"/>
        <v>0</v>
      </c>
      <c r="J55" s="36"/>
      <c r="K55" s="36"/>
      <c r="L55" s="10"/>
    </row>
    <row r="56" spans="1:13" ht="12.5">
      <c r="A56" s="46"/>
      <c r="B56" s="243" t="str">
        <f>HYPERLINK("http://codeforces.com/contest/1043/problem/D","CF1043-D12-D")</f>
        <v>CF1043-D12-D</v>
      </c>
      <c r="C56" s="67"/>
      <c r="D56" s="67"/>
      <c r="E56" s="67"/>
      <c r="F56" s="67"/>
      <c r="G56" s="67"/>
      <c r="H56" s="67"/>
      <c r="I56" s="36">
        <f t="shared" si="0"/>
        <v>0</v>
      </c>
      <c r="J56" s="36"/>
      <c r="K56" s="36"/>
      <c r="L56" s="10"/>
    </row>
    <row r="57" spans="1:13" ht="12.5">
      <c r="A57" s="150" t="s">
        <v>1026</v>
      </c>
      <c r="B57" s="192" t="str">
        <f>HYPERLINK("http://codeforces.com/contest/200/problem/C","CF200-D2-C")</f>
        <v>CF200-D2-C</v>
      </c>
      <c r="C57" s="67"/>
      <c r="D57" s="67"/>
      <c r="E57" s="67"/>
      <c r="F57" s="67"/>
      <c r="G57" s="67"/>
      <c r="H57" s="67"/>
      <c r="I57" s="36">
        <f t="shared" si="0"/>
        <v>0</v>
      </c>
      <c r="J57" s="36"/>
      <c r="K57" s="36"/>
      <c r="L57" s="10"/>
      <c r="M57" s="56"/>
    </row>
    <row r="58" spans="1:13" ht="12.5">
      <c r="A58" s="150" t="s">
        <v>1027</v>
      </c>
      <c r="B58" s="192" t="str">
        <f>HYPERLINK("http://codeforces.com/contest/489/problem/C","CF489-D2-C")</f>
        <v>CF489-D2-C</v>
      </c>
      <c r="C58" s="67"/>
      <c r="D58" s="67"/>
      <c r="E58" s="67"/>
      <c r="F58" s="67"/>
      <c r="G58" s="67"/>
      <c r="H58" s="67"/>
      <c r="I58" s="36">
        <f t="shared" si="0"/>
        <v>0</v>
      </c>
      <c r="J58" s="36"/>
      <c r="K58" s="36"/>
      <c r="L58" s="10"/>
      <c r="M58" s="56"/>
    </row>
    <row r="59" spans="1:13" ht="12.5">
      <c r="A59" s="46"/>
      <c r="B59" s="56"/>
      <c r="C59" s="67"/>
      <c r="D59" s="67"/>
      <c r="E59" s="67"/>
      <c r="F59" s="67"/>
      <c r="G59" s="67"/>
      <c r="H59" s="67"/>
      <c r="I59" s="36">
        <f t="shared" si="0"/>
        <v>0</v>
      </c>
      <c r="J59" s="36"/>
      <c r="K59" s="36"/>
      <c r="L59" s="10"/>
      <c r="M59" s="56"/>
    </row>
    <row r="60" spans="1:13" ht="12.5">
      <c r="A60" s="234" t="s">
        <v>1028</v>
      </c>
      <c r="B60" s="235" t="str">
        <f>HYPERLINK("https://uva.onlinejudge.org/index.php?option=onlinejudge&amp;page=show_problem&amp;problem=122","UVA 186")</f>
        <v>UVA 186</v>
      </c>
      <c r="C60" s="67"/>
      <c r="D60" s="67"/>
      <c r="E60" s="67"/>
      <c r="F60" s="67"/>
      <c r="G60" s="67"/>
      <c r="H60" s="67"/>
      <c r="I60" s="36">
        <f t="shared" si="0"/>
        <v>0</v>
      </c>
      <c r="J60" s="36"/>
      <c r="K60" s="36"/>
      <c r="L60" s="10"/>
      <c r="M60" s="147" t="str">
        <f>HYPERLINK("https://github.com/VAMPIER000001/CompetitiveProgramming/blob/master/UVA/V-1/UVA%20186.Cpp","Sol")</f>
        <v>Sol</v>
      </c>
    </row>
    <row r="61" spans="1:13" ht="12.5">
      <c r="A61" s="234" t="s">
        <v>1029</v>
      </c>
      <c r="B61" s="235" t="str">
        <f>HYPERLINK("https://uva.onlinejudge.org/index.php?option=onlinejudge&amp;page=show_problem&amp;problem=548","UVA 607")</f>
        <v>UVA 607</v>
      </c>
      <c r="C61" s="67"/>
      <c r="D61" s="67"/>
      <c r="E61" s="67"/>
      <c r="F61" s="67"/>
      <c r="G61" s="67"/>
      <c r="H61" s="67"/>
      <c r="I61" s="36">
        <f t="shared" si="0"/>
        <v>0</v>
      </c>
      <c r="J61" s="36"/>
      <c r="K61" s="36"/>
      <c r="M61" s="147" t="str">
        <f>HYPERLINK("https://github.com/MichaelMounir12/CompetitiveProgramming/blob/69c0dba2b0b29083ebad94dfd18be25dcf903235/UVA/UVA_607.cpp","Sol")</f>
        <v>Sol</v>
      </c>
    </row>
    <row r="62" spans="1:13" ht="12.5">
      <c r="A62" s="234" t="s">
        <v>1030</v>
      </c>
      <c r="B62" s="235" t="str">
        <f>HYPERLINK("http://www.spoj.com/problems/WEIRDFN/","SPOJ WEIRDFN")</f>
        <v>SPOJ WEIRDFN</v>
      </c>
      <c r="C62" s="67"/>
      <c r="D62" s="67"/>
      <c r="E62" s="67"/>
      <c r="F62" s="67"/>
      <c r="G62" s="67"/>
      <c r="H62" s="67"/>
      <c r="I62" s="36">
        <f t="shared" si="0"/>
        <v>0</v>
      </c>
      <c r="J62" s="36"/>
      <c r="K62" s="36"/>
      <c r="M62" s="147" t="str">
        <f>HYPERLINK("https://github.com/mostafa-saad/MyCompetitiveProgramming/blob/master/SPOJ/SPOJ_WEIRDFN.txt","Sol")</f>
        <v>Sol</v>
      </c>
    </row>
    <row r="63" spans="1:13" ht="12.5">
      <c r="A63" s="234" t="s">
        <v>1031</v>
      </c>
      <c r="B63" s="235" t="str">
        <f>HYPERLINK("https://uva.onlinejudge.org/index.php?option=com_onlinejudge&amp;Itemid=8&amp;page=show_problem&amp;problem=966","UVA 10025")</f>
        <v>UVA 10025</v>
      </c>
      <c r="C63" s="67"/>
      <c r="D63" s="67"/>
      <c r="E63" s="67"/>
      <c r="F63" s="67"/>
      <c r="G63" s="67"/>
      <c r="H63" s="67"/>
      <c r="I63" s="36">
        <f t="shared" si="0"/>
        <v>0</v>
      </c>
      <c r="J63" s="36"/>
      <c r="K63" s="36"/>
      <c r="L63" s="10"/>
      <c r="M63" s="46"/>
    </row>
    <row r="64" spans="1:13" ht="12.5">
      <c r="A64" s="234" t="s">
        <v>1032</v>
      </c>
      <c r="B64" s="235" t="str">
        <f>HYPERLINK("http://www.spoj.com/problems/DICTSUB/","SPOJ DICTSUB")</f>
        <v>SPOJ DICTSUB</v>
      </c>
      <c r="C64" s="67"/>
      <c r="D64" s="67"/>
      <c r="E64" s="67"/>
      <c r="F64" s="67"/>
      <c r="G64" s="67"/>
      <c r="H64" s="67"/>
      <c r="I64" s="36">
        <f t="shared" si="0"/>
        <v>0</v>
      </c>
      <c r="J64" s="36"/>
      <c r="K64" s="36"/>
      <c r="L64" s="10"/>
      <c r="M64" s="147" t="str">
        <f>HYPERLINK("https://github.com/VAMPIER000001/CompetitiveProgramming/blob/master/Spoj/SPOJ%20DICTSUB.Cpp","Sol")</f>
        <v>Sol</v>
      </c>
    </row>
    <row r="65" spans="1:13" ht="12.5">
      <c r="A65" s="234" t="s">
        <v>1033</v>
      </c>
      <c r="B65" s="235" t="str">
        <f>HYPERLINK("https://uva.onlinejudge.org/index.php?option=com_onlinejudge&amp;Itemid=8&amp;page=show_problem&amp;problem=999","UVA 10058")</f>
        <v>UVA 10058</v>
      </c>
      <c r="C65" s="67"/>
      <c r="D65" s="67"/>
      <c r="E65" s="67"/>
      <c r="F65" s="67"/>
      <c r="G65" s="67"/>
      <c r="H65" s="67"/>
      <c r="I65" s="36">
        <f t="shared" si="0"/>
        <v>0</v>
      </c>
      <c r="J65" s="36"/>
      <c r="K65" s="36"/>
      <c r="M65" s="147" t="str">
        <f>HYPERLINK("https://github.com/ackoroa/UVa-Solutions/blob/master/UVa%2010058%20-%20Jimmi's%20Riddles/src/Main.java","Sol")</f>
        <v>Sol</v>
      </c>
    </row>
    <row r="66" spans="1:13" ht="12.5">
      <c r="A66" s="79" t="s">
        <v>1034</v>
      </c>
      <c r="B66" s="241" t="str">
        <f>HYPERLINK("http://codeforces.com/contest/689/problem/D","CF689-D2-D")</f>
        <v>CF689-D2-D</v>
      </c>
      <c r="C66" s="67"/>
      <c r="D66" s="67"/>
      <c r="E66" s="67"/>
      <c r="F66" s="67"/>
      <c r="G66" s="67"/>
      <c r="H66" s="67"/>
      <c r="I66" s="36">
        <f t="shared" si="0"/>
        <v>0</v>
      </c>
      <c r="J66" s="10"/>
      <c r="K66" s="10"/>
      <c r="M66" s="46"/>
    </row>
    <row r="67" spans="1:13" ht="12.5">
      <c r="A67" s="234" t="s">
        <v>1035</v>
      </c>
      <c r="B67" s="235" t="str">
        <f>HYPERLINK("http://www.spoj.com/problems/SEGSQRSS","SPOJ SEGSQRSS")</f>
        <v>SPOJ SEGSQRSS</v>
      </c>
      <c r="C67" s="67"/>
      <c r="D67" s="67"/>
      <c r="E67" s="67"/>
      <c r="F67" s="67"/>
      <c r="G67" s="67"/>
      <c r="H67" s="67"/>
      <c r="I67" s="36">
        <f t="shared" si="0"/>
        <v>0</v>
      </c>
      <c r="J67" s="36"/>
      <c r="K67" s="36"/>
      <c r="M67" s="147" t="str">
        <f>HYPERLINK("https://github.com/MichaelMounir12/CompetitiveProgramming/blob/9c6e99fc3a2583209a313ddd617a07ac294024e9/SPOJ/SPOJ_SEGSQRSS.cpp","Sol")</f>
        <v>Sol</v>
      </c>
    </row>
    <row r="68" spans="1:13" ht="12.5">
      <c r="A68" s="234" t="s">
        <v>1036</v>
      </c>
      <c r="B68" s="235" t="str">
        <f>HYPERLINK("https://uva.onlinejudge.org/index.php?option=onlinejudge&amp;page=show_problem&amp;problem=1757","UVA 10816")</f>
        <v>UVA 10816</v>
      </c>
      <c r="C68" s="67"/>
      <c r="D68" s="67"/>
      <c r="E68" s="67"/>
      <c r="F68" s="67"/>
      <c r="G68" s="67"/>
      <c r="H68" s="67"/>
      <c r="I68" s="36">
        <f t="shared" si="0"/>
        <v>0</v>
      </c>
      <c r="J68" s="36"/>
      <c r="K68" s="36"/>
      <c r="M68" s="147" t="str">
        <f>HYPERLINK("https://github.com/VAMPIER000001/CompetitiveProgramming/blob/master/UVA/V-108/UVA%2010816.Cpp","Sol")</f>
        <v>Sol</v>
      </c>
    </row>
    <row r="69" spans="1:13" ht="12.5">
      <c r="A69" s="189" t="s">
        <v>1037</v>
      </c>
      <c r="B69" s="206" t="s">
        <v>1038</v>
      </c>
      <c r="C69" s="67"/>
      <c r="D69" s="67"/>
      <c r="E69" s="67"/>
      <c r="F69" s="67"/>
      <c r="G69" s="67"/>
      <c r="H69" s="67"/>
      <c r="I69" s="36">
        <f t="shared" si="0"/>
        <v>0</v>
      </c>
      <c r="J69" s="10"/>
      <c r="K69" s="10"/>
      <c r="M69" s="147" t="str">
        <f>HYPERLINK("https://github.com/VAMPIER000001/CompetitiveProgramming/blob/master/UVA/V-119/UVA%2011987.Cpp","Sol")</f>
        <v>Sol</v>
      </c>
    </row>
    <row r="70" spans="1:13" ht="12.5">
      <c r="A70" s="189"/>
      <c r="B70" s="206" t="s">
        <v>1039</v>
      </c>
      <c r="C70" s="67"/>
      <c r="D70" s="67"/>
      <c r="E70" s="67"/>
      <c r="F70" s="67"/>
      <c r="G70" s="67"/>
      <c r="H70" s="67"/>
      <c r="I70" s="36">
        <f t="shared" si="0"/>
        <v>0</v>
      </c>
      <c r="J70" s="10"/>
      <c r="K70" s="10"/>
      <c r="M70" s="46"/>
    </row>
    <row r="71" spans="1:13" ht="12.5">
      <c r="A71" s="79"/>
      <c r="B71" s="208" t="str">
        <f>HYPERLINK("http://codeforces.com/contest/513/problem/C","CF513-D12-C")</f>
        <v>CF513-D12-C</v>
      </c>
      <c r="C71" s="67"/>
      <c r="D71" s="67"/>
      <c r="E71" s="67"/>
      <c r="F71" s="67"/>
      <c r="G71" s="67"/>
      <c r="H71" s="67"/>
      <c r="I71" s="36">
        <f t="shared" si="0"/>
        <v>0</v>
      </c>
      <c r="J71" s="10"/>
      <c r="K71" s="10"/>
      <c r="M71" s="147" t="str">
        <f>HYPERLINK("https://github.com/aabdelzaher/Competitive-Programming/blob/master/Codeforces/CF513-D12-C.java","Sol")</f>
        <v>Sol</v>
      </c>
    </row>
    <row r="72" spans="1:13" ht="12.5">
      <c r="A72" s="79"/>
      <c r="B72" s="79" t="s">
        <v>1040</v>
      </c>
      <c r="C72" s="67"/>
      <c r="D72" s="67"/>
      <c r="E72" s="67"/>
      <c r="F72" s="67"/>
      <c r="G72" s="67"/>
      <c r="H72" s="67"/>
      <c r="I72" s="36">
        <f t="shared" si="0"/>
        <v>0</v>
      </c>
      <c r="J72" s="10"/>
      <c r="K72" s="10"/>
      <c r="M72" s="46"/>
    </row>
    <row r="73" spans="1:13" ht="12.5">
      <c r="A73" s="79"/>
      <c r="B73" s="79" t="s">
        <v>1041</v>
      </c>
      <c r="C73" s="67"/>
      <c r="D73" s="67"/>
      <c r="E73" s="67"/>
      <c r="F73" s="67"/>
      <c r="G73" s="67"/>
      <c r="H73" s="67"/>
      <c r="I73" s="36">
        <f t="shared" si="0"/>
        <v>0</v>
      </c>
      <c r="J73" s="10"/>
      <c r="K73" s="10"/>
      <c r="M73" s="147" t="str">
        <f>HYPERLINK("https://github.com/mostafa-saad/MyCompetitiveProgramming/blob/master/SPOJ/SPOJ_PARSUMS.txt","Sol")</f>
        <v>Sol</v>
      </c>
    </row>
    <row r="74" spans="1:13" ht="12.5">
      <c r="A74" s="79"/>
      <c r="B74" s="208" t="str">
        <f>HYPERLINK("https://codeforces.com/contest/1138/problem/D","CF1138-D2-D")</f>
        <v>CF1138-D2-D</v>
      </c>
      <c r="C74" s="67"/>
      <c r="D74" s="67"/>
      <c r="E74" s="67"/>
      <c r="F74" s="67"/>
      <c r="G74" s="67"/>
      <c r="H74" s="67"/>
      <c r="I74" s="36">
        <f t="shared" si="0"/>
        <v>0</v>
      </c>
      <c r="J74" s="10"/>
      <c r="K74" s="10"/>
      <c r="M74" s="46"/>
    </row>
    <row r="75" spans="1:13" ht="12.5">
      <c r="A75" s="46"/>
      <c r="B75" s="56"/>
      <c r="C75" s="67"/>
      <c r="D75" s="67"/>
      <c r="E75" s="67"/>
      <c r="F75" s="67"/>
      <c r="G75" s="67"/>
      <c r="H75" s="67"/>
      <c r="I75" s="36">
        <f t="shared" si="0"/>
        <v>0</v>
      </c>
      <c r="J75" s="36"/>
      <c r="K75" s="36"/>
      <c r="L75" s="10"/>
      <c r="M75" s="56"/>
    </row>
    <row r="76" spans="1:13" ht="12.5">
      <c r="A76" s="56" t="s">
        <v>1042</v>
      </c>
      <c r="B76" s="131" t="str">
        <f>HYPERLINK("http://codeforces.com/contest/284/problem/D","CF284-D2-D")</f>
        <v>CF284-D2-D</v>
      </c>
      <c r="C76" s="67"/>
      <c r="D76" s="67"/>
      <c r="E76" s="67"/>
      <c r="F76" s="67"/>
      <c r="G76" s="67"/>
      <c r="H76" s="67"/>
      <c r="I76" s="36">
        <f t="shared" si="0"/>
        <v>0</v>
      </c>
      <c r="J76" s="10"/>
      <c r="K76" s="10"/>
      <c r="L76" s="10"/>
      <c r="M76" s="10"/>
    </row>
    <row r="77" spans="1:13" ht="12.5">
      <c r="A77" s="10" t="s">
        <v>1043</v>
      </c>
      <c r="B77" s="131" t="str">
        <f>HYPERLINK("http://codeforces.com/contest/431/problem/D","CF431-D2-D")</f>
        <v>CF431-D2-D</v>
      </c>
      <c r="C77" s="67"/>
      <c r="D77" s="67"/>
      <c r="E77" s="67"/>
      <c r="F77" s="67"/>
      <c r="G77" s="67"/>
      <c r="H77" s="67"/>
      <c r="I77" s="36">
        <f t="shared" si="0"/>
        <v>0</v>
      </c>
      <c r="J77" s="10"/>
      <c r="K77" s="10"/>
      <c r="L77" s="10"/>
      <c r="M77" s="10"/>
    </row>
    <row r="78" spans="1:13" ht="12.5">
      <c r="A78" s="46" t="s">
        <v>1044</v>
      </c>
      <c r="B78" s="245" t="str">
        <f>HYPERLINK("http://codeforces.com/contest/296/problem/D","CF296-D2-D")</f>
        <v>CF296-D2-D</v>
      </c>
      <c r="C78" s="67"/>
      <c r="D78" s="67"/>
      <c r="E78" s="67"/>
      <c r="F78" s="67"/>
      <c r="G78" s="67"/>
      <c r="H78" s="67"/>
      <c r="I78" s="36">
        <f t="shared" si="0"/>
        <v>0</v>
      </c>
      <c r="J78" s="36"/>
      <c r="K78" s="36"/>
      <c r="L78" s="10"/>
      <c r="M78" s="56"/>
    </row>
    <row r="79" spans="1:13" ht="12.5">
      <c r="A79" s="46" t="s">
        <v>1045</v>
      </c>
      <c r="B79" s="245" t="str">
        <f>HYPERLINK("http://codeforces.com/contest/104/problem/D","CF104-D2-D")</f>
        <v>CF104-D2-D</v>
      </c>
      <c r="C79" s="67"/>
      <c r="D79" s="67"/>
      <c r="E79" s="67"/>
      <c r="F79" s="67"/>
      <c r="G79" s="67"/>
      <c r="H79" s="67"/>
      <c r="I79" s="36">
        <f t="shared" si="0"/>
        <v>0</v>
      </c>
      <c r="J79" s="36"/>
      <c r="K79" s="36"/>
      <c r="L79" s="10"/>
      <c r="M79" s="56"/>
    </row>
    <row r="80" spans="1:13" ht="12.5">
      <c r="A80" s="56" t="s">
        <v>1046</v>
      </c>
      <c r="B80" s="131" t="str">
        <f>HYPERLINK("http://codeforces.com/contest/659/problem/D","CF659-D2-D")</f>
        <v>CF659-D2-D</v>
      </c>
      <c r="C80" s="67"/>
      <c r="D80" s="67"/>
      <c r="E80" s="67"/>
      <c r="F80" s="67"/>
      <c r="G80" s="67"/>
      <c r="H80" s="67"/>
      <c r="I80" s="36">
        <f t="shared" si="0"/>
        <v>0</v>
      </c>
      <c r="J80" s="10"/>
      <c r="K80" s="10"/>
      <c r="L80" s="10"/>
      <c r="M80" s="10"/>
    </row>
    <row r="81" spans="1:13" ht="12.5">
      <c r="A81" s="56" t="s">
        <v>1047</v>
      </c>
      <c r="B81" s="131" t="str">
        <f>HYPERLINK("http://codeforces.com/contest/270/problem/D","CF270-D2-D")</f>
        <v>CF270-D2-D</v>
      </c>
      <c r="C81" s="67"/>
      <c r="D81" s="67"/>
      <c r="E81" s="67"/>
      <c r="F81" s="67"/>
      <c r="G81" s="67"/>
      <c r="H81" s="67"/>
      <c r="I81" s="36">
        <f t="shared" si="0"/>
        <v>0</v>
      </c>
      <c r="J81" s="10"/>
      <c r="K81" s="10"/>
      <c r="L81" s="10"/>
      <c r="M81" s="10"/>
    </row>
    <row r="82" spans="1:13" ht="12.5">
      <c r="A82" s="56"/>
      <c r="B82" s="131" t="str">
        <f>HYPERLINK("http://codeforces.com/contest/645/problem/D","CF645-D12-D")</f>
        <v>CF645-D12-D</v>
      </c>
      <c r="C82" s="67"/>
      <c r="D82" s="67"/>
      <c r="E82" s="67"/>
      <c r="F82" s="67"/>
      <c r="G82" s="67"/>
      <c r="H82" s="67"/>
      <c r="I82" s="36">
        <f t="shared" si="0"/>
        <v>0</v>
      </c>
      <c r="J82" s="10"/>
      <c r="K82" s="10"/>
      <c r="L82" s="10"/>
      <c r="M82" s="10"/>
    </row>
    <row r="83" spans="1:13" ht="12.5">
      <c r="A83" s="56"/>
      <c r="B83" s="131" t="str">
        <f>HYPERLINK("http://codeforces.com/contest/459/problem/C","CF459-D2-C")</f>
        <v>CF459-D2-C</v>
      </c>
      <c r="C83" s="67"/>
      <c r="D83" s="67"/>
      <c r="E83" s="67"/>
      <c r="F83" s="67"/>
      <c r="G83" s="67"/>
      <c r="H83" s="67"/>
      <c r="I83" s="36">
        <f t="shared" si="0"/>
        <v>0</v>
      </c>
      <c r="J83" s="10"/>
      <c r="K83" s="10"/>
      <c r="L83" s="10"/>
      <c r="M83" s="10"/>
    </row>
    <row r="84" spans="1:13" ht="25">
      <c r="A84" s="56"/>
      <c r="B84" s="131" t="str">
        <f>HYPERLINK("https://www.codechef.com/ACMIND18/problems/REDCGAME","CODECHEF REDCGAME")</f>
        <v>CODECHEF REDCGAME</v>
      </c>
      <c r="C84" s="67"/>
      <c r="D84" s="67"/>
      <c r="E84" s="67"/>
      <c r="F84" s="67"/>
      <c r="G84" s="67"/>
      <c r="H84" s="67"/>
      <c r="I84" s="36">
        <f t="shared" si="0"/>
        <v>0</v>
      </c>
      <c r="J84" s="10"/>
      <c r="K84" s="10"/>
      <c r="L84" s="10"/>
      <c r="M84" s="10"/>
    </row>
    <row r="85" spans="1:13" ht="12.5">
      <c r="A85" s="56"/>
      <c r="B85" s="131" t="str">
        <f>HYPERLINK("http://codeforces.com/contest/1005/problem/F","CF1005-D3-F")</f>
        <v>CF1005-D3-F</v>
      </c>
      <c r="C85" s="67"/>
      <c r="D85" s="67"/>
      <c r="E85" s="67"/>
      <c r="F85" s="67"/>
      <c r="G85" s="67"/>
      <c r="H85" s="67"/>
      <c r="I85" s="36">
        <f t="shared" si="0"/>
        <v>0</v>
      </c>
      <c r="J85" s="10"/>
      <c r="K85" s="10"/>
      <c r="L85" s="10"/>
      <c r="M85" s="10"/>
    </row>
    <row r="86" spans="1:13" ht="12.5">
      <c r="A86" s="150" t="s">
        <v>1048</v>
      </c>
      <c r="B86" s="192" t="str">
        <f>HYPERLINK("http://codeforces.com/contest/152/problem/C","CF152-D2-C")</f>
        <v>CF152-D2-C</v>
      </c>
      <c r="C86" s="67"/>
      <c r="D86" s="67"/>
      <c r="E86" s="67"/>
      <c r="F86" s="67"/>
      <c r="G86" s="67"/>
      <c r="H86" s="67"/>
      <c r="I86" s="36">
        <f t="shared" si="0"/>
        <v>0</v>
      </c>
      <c r="J86" s="10"/>
      <c r="K86" s="10"/>
      <c r="L86" s="10"/>
      <c r="M86" s="10"/>
    </row>
    <row r="87" spans="1:13" ht="12.5">
      <c r="A87" s="150" t="s">
        <v>1049</v>
      </c>
      <c r="B87" s="192" t="str">
        <f>HYPERLINK("http://codeforces.com/contest/361/problem/C","CF361-D2-C")</f>
        <v>CF361-D2-C</v>
      </c>
      <c r="C87" s="67"/>
      <c r="D87" s="67"/>
      <c r="E87" s="67"/>
      <c r="F87" s="67"/>
      <c r="G87" s="67"/>
      <c r="H87" s="67"/>
      <c r="I87" s="36">
        <f t="shared" si="0"/>
        <v>0</v>
      </c>
      <c r="J87" s="10"/>
      <c r="K87" s="10"/>
      <c r="L87" s="10"/>
      <c r="M87" s="10"/>
    </row>
    <row r="88" spans="1:13" ht="12.5">
      <c r="A88" s="150" t="s">
        <v>1050</v>
      </c>
      <c r="B88" s="192" t="str">
        <f>HYPERLINK("http://codeforces.com/contest/540/problem/C","CF540-D2-C")</f>
        <v>CF540-D2-C</v>
      </c>
      <c r="C88" s="67"/>
      <c r="D88" s="67"/>
      <c r="E88" s="67"/>
      <c r="F88" s="67"/>
      <c r="G88" s="67"/>
      <c r="H88" s="67"/>
      <c r="I88" s="36">
        <f t="shared" si="0"/>
        <v>0</v>
      </c>
      <c r="J88" s="10"/>
      <c r="K88" s="10"/>
      <c r="L88" s="10"/>
      <c r="M88" s="10"/>
    </row>
    <row r="89" spans="1:13" ht="12.5">
      <c r="A89" s="46"/>
      <c r="B89" s="56"/>
      <c r="C89" s="67"/>
      <c r="D89" s="67"/>
      <c r="E89" s="67"/>
      <c r="F89" s="67"/>
      <c r="G89" s="67"/>
      <c r="H89" s="67"/>
      <c r="I89" s="36">
        <f t="shared" si="0"/>
        <v>0</v>
      </c>
      <c r="J89" s="36"/>
      <c r="K89" s="36"/>
      <c r="L89" s="10"/>
      <c r="M89" s="56"/>
    </row>
    <row r="90" spans="1:13" ht="12.5">
      <c r="A90" s="234" t="s">
        <v>879</v>
      </c>
      <c r="B90" s="235" t="str">
        <f>HYPERLINK("https://uva.onlinejudge.org/index.php?option=com_onlinejudge&amp;Itemid=8&amp;page=show_problem&amp;problem=648","UVA 707")</f>
        <v>UVA 707</v>
      </c>
      <c r="C90" s="67"/>
      <c r="D90" s="67"/>
      <c r="E90" s="67"/>
      <c r="F90" s="67"/>
      <c r="G90" s="67"/>
      <c r="H90" s="67"/>
      <c r="I90" s="36">
        <f t="shared" si="0"/>
        <v>0</v>
      </c>
      <c r="J90" s="36"/>
      <c r="K90" s="36"/>
      <c r="L90" s="10"/>
      <c r="M90" s="147" t="str">
        <f>HYPERLINK("https://github.com/VAMPIER000001/CompetitiveProgramming/blob/master/UVA/V-7/UVA%20707.Cpp","Sol")</f>
        <v>Sol</v>
      </c>
    </row>
    <row r="91" spans="1:13" ht="12.5">
      <c r="A91" s="234" t="s">
        <v>1051</v>
      </c>
      <c r="B91" s="235" t="str">
        <f>HYPERLINK("https://uva.onlinejudge.org/index.php?option=com_onlinejudge&amp;Itemid=8&amp;page=show_problem&amp;problem=62","UVA 126")</f>
        <v>UVA 126</v>
      </c>
      <c r="C91" s="67"/>
      <c r="D91" s="67"/>
      <c r="E91" s="67"/>
      <c r="F91" s="67"/>
      <c r="G91" s="67"/>
      <c r="H91" s="67"/>
      <c r="I91" s="36">
        <f t="shared" si="0"/>
        <v>0</v>
      </c>
      <c r="J91" s="36"/>
      <c r="K91" s="36"/>
      <c r="M91" s="147" t="str">
        <f>HYPERLINK("https://github.com/abdullaAshraf/Problem-Solving/blob/master/UVA/126.cpp","Sol")</f>
        <v>Sol</v>
      </c>
    </row>
    <row r="92" spans="1:13" ht="12.5">
      <c r="A92" s="234" t="s">
        <v>1052</v>
      </c>
      <c r="B92" s="235" t="str">
        <f>HYPERLINK("https://uva.onlinejudge.org/index.php?option=com_onlinejudge&amp;Itemid=8&amp;page=show_problem&amp;problem=4501","UVA 1626")</f>
        <v>UVA 1626</v>
      </c>
      <c r="C92" s="67"/>
      <c r="D92" s="67"/>
      <c r="E92" s="67"/>
      <c r="F92" s="67"/>
      <c r="G92" s="67"/>
      <c r="H92" s="67"/>
      <c r="I92" s="36">
        <f t="shared" si="0"/>
        <v>0</v>
      </c>
      <c r="J92" s="36"/>
      <c r="K92" s="36"/>
      <c r="M92" s="147" t="str">
        <f>HYPERLINK("https://github.com/abdullaAshraf/Problem-Solving/blob/master/UVA/1626.cpp","Sol")</f>
        <v>Sol</v>
      </c>
    </row>
    <row r="93" spans="1:13" ht="12.5">
      <c r="A93" s="234" t="s">
        <v>1053</v>
      </c>
      <c r="B93" s="235" t="str">
        <f>HYPERLINK("https://www.youtube.com/watch?v=OWlJ8chpit0","UVA 10448")</f>
        <v>UVA 10448</v>
      </c>
      <c r="C93" s="67"/>
      <c r="D93" s="67"/>
      <c r="E93" s="67"/>
      <c r="F93" s="67"/>
      <c r="G93" s="67"/>
      <c r="H93" s="67"/>
      <c r="I93" s="36">
        <f t="shared" si="0"/>
        <v>0</v>
      </c>
      <c r="J93" s="36"/>
      <c r="K93" s="36"/>
      <c r="L93" s="10"/>
      <c r="M93" s="59" t="str">
        <f>HYPERLINK("https://www.youtube.com/watch?v=OWlJ8chpit0","Video Solution - Dr Mostafa Saad")</f>
        <v>Video Solution - Dr Mostafa Saad</v>
      </c>
    </row>
    <row r="94" spans="1:13" ht="12.5">
      <c r="A94" s="79" t="s">
        <v>1054</v>
      </c>
      <c r="B94" s="215" t="str">
        <f>HYPERLINK("http://codeforces.com/contest/540/problem/D","CF540-D2-D")</f>
        <v>CF540-D2-D</v>
      </c>
      <c r="C94" s="67"/>
      <c r="D94" s="67"/>
      <c r="E94" s="67"/>
      <c r="F94" s="67"/>
      <c r="G94" s="67"/>
      <c r="H94" s="67"/>
      <c r="I94" s="36">
        <f t="shared" si="0"/>
        <v>0</v>
      </c>
      <c r="J94" s="10"/>
      <c r="K94" s="10"/>
      <c r="L94" s="10"/>
      <c r="M94" s="10"/>
    </row>
    <row r="95" spans="1:13" ht="12.5">
      <c r="A95" s="79" t="s">
        <v>1055</v>
      </c>
      <c r="B95" s="79" t="s">
        <v>1056</v>
      </c>
      <c r="C95" s="67"/>
      <c r="D95" s="67"/>
      <c r="E95" s="67"/>
      <c r="F95" s="67"/>
      <c r="G95" s="67"/>
      <c r="H95" s="67"/>
      <c r="I95" s="36">
        <f t="shared" si="0"/>
        <v>0</v>
      </c>
      <c r="J95" s="10"/>
      <c r="K95" s="10"/>
      <c r="M95" s="147" t="str">
        <f>HYPERLINK("https://github.com/SaraElkadi/competitive-programming-/blob/master/UVA/11284.cpp","Sol")</f>
        <v>Sol</v>
      </c>
    </row>
    <row r="96" spans="1:13" ht="12.5">
      <c r="A96" s="79" t="s">
        <v>1057</v>
      </c>
      <c r="B96" s="79" t="s">
        <v>1058</v>
      </c>
      <c r="C96" s="67"/>
      <c r="D96" s="67"/>
      <c r="E96" s="67"/>
      <c r="F96" s="67"/>
      <c r="G96" s="67"/>
      <c r="H96" s="67"/>
      <c r="I96" s="36">
        <f t="shared" si="0"/>
        <v>0</v>
      </c>
      <c r="J96" s="10"/>
      <c r="K96" s="10"/>
      <c r="M96" s="147" t="str">
        <f>HYPERLINK("https://github.com/BRAINOOO/CompetitiveProgramming/blob/master/UVA/V-116/UVA%2011635.Cpp","Sol")</f>
        <v>Sol</v>
      </c>
    </row>
    <row r="97" spans="1:13" ht="12.5">
      <c r="A97" s="79"/>
      <c r="B97" s="155" t="str">
        <f>HYPERLINK("http://codeforces.com/contest/337/problem/D","CF337-D2-D")</f>
        <v>CF337-D2-D</v>
      </c>
      <c r="C97" s="67"/>
      <c r="D97" s="67"/>
      <c r="E97" s="67"/>
      <c r="F97" s="67"/>
      <c r="G97" s="67"/>
      <c r="H97" s="67"/>
      <c r="I97" s="36">
        <f t="shared" si="0"/>
        <v>0</v>
      </c>
      <c r="J97" s="10"/>
      <c r="K97" s="10"/>
      <c r="M97" s="147" t="str">
        <f>HYPERLINK("http://codeforces.com/contest/337/submission/38413425","Sol")</f>
        <v>Sol</v>
      </c>
    </row>
    <row r="98" spans="1:13" ht="12.5">
      <c r="A98" s="79"/>
      <c r="B98" s="155" t="str">
        <f>HYPERLINK("https://www.hackerrank.com/challenges/ajourney","HACKR ajourney")</f>
        <v>HACKR ajourney</v>
      </c>
      <c r="C98" s="67"/>
      <c r="D98" s="67"/>
      <c r="E98" s="67"/>
      <c r="F98" s="67"/>
      <c r="G98" s="67"/>
      <c r="H98" s="67"/>
      <c r="I98" s="36">
        <f t="shared" si="0"/>
        <v>0</v>
      </c>
      <c r="J98" s="10"/>
      <c r="K98" s="10"/>
      <c r="M98" s="46"/>
    </row>
    <row r="99" spans="1:13" ht="12.5">
      <c r="A99" s="79"/>
      <c r="B99" s="155" t="str">
        <f>HYPERLINK("https://codeforces.com/contest/665/problem/E","CF665-D12-E")</f>
        <v>CF665-D12-E</v>
      </c>
      <c r="C99" s="67"/>
      <c r="D99" s="67"/>
      <c r="E99" s="67"/>
      <c r="F99" s="67"/>
      <c r="G99" s="67"/>
      <c r="H99" s="67"/>
      <c r="I99" s="36">
        <f t="shared" si="0"/>
        <v>0</v>
      </c>
      <c r="J99" s="10"/>
      <c r="K99" s="10"/>
      <c r="M99" s="46"/>
    </row>
    <row r="100" spans="1:13" ht="12.5">
      <c r="A100" s="46"/>
      <c r="B100" s="56"/>
      <c r="C100" s="67"/>
      <c r="D100" s="67"/>
      <c r="E100" s="67"/>
      <c r="F100" s="67"/>
      <c r="G100" s="67"/>
      <c r="H100" s="67"/>
      <c r="I100" s="36">
        <f t="shared" si="0"/>
        <v>0</v>
      </c>
      <c r="J100" s="36"/>
      <c r="K100" s="36"/>
      <c r="M100" s="46"/>
    </row>
    <row r="101" spans="1:13" ht="12.5">
      <c r="A101" s="46" t="s">
        <v>1059</v>
      </c>
      <c r="B101" s="120" t="str">
        <f>HYPERLINK("http://codeforces.com/contest/203/problem/D","CF203-D2-D")</f>
        <v>CF203-D2-D</v>
      </c>
      <c r="C101" s="67"/>
      <c r="D101" s="67"/>
      <c r="E101" s="67"/>
      <c r="F101" s="67"/>
      <c r="G101" s="67"/>
      <c r="H101" s="67"/>
      <c r="I101" s="36">
        <f t="shared" si="0"/>
        <v>0</v>
      </c>
      <c r="J101" s="36"/>
      <c r="K101" s="36"/>
      <c r="M101" s="46"/>
    </row>
    <row r="102" spans="1:13" ht="12.5">
      <c r="A102" s="56" t="s">
        <v>1060</v>
      </c>
      <c r="B102" s="131" t="str">
        <f>HYPERLINK("http://codeforces.com/contest/368/problem/D","CF368-D2-D")</f>
        <v>CF368-D2-D</v>
      </c>
      <c r="C102" s="67"/>
      <c r="D102" s="67"/>
      <c r="E102" s="67"/>
      <c r="F102" s="67"/>
      <c r="G102" s="67"/>
      <c r="H102" s="67"/>
      <c r="I102" s="36">
        <f t="shared" si="0"/>
        <v>0</v>
      </c>
      <c r="J102" s="10"/>
      <c r="K102" s="10"/>
      <c r="M102" s="147" t="str">
        <f>HYPERLINK("https://github.com/MohamedNabil97/CompetitiveProgramming/blob/master/CodeForces/CF368-D2-D.cpp","Sol")</f>
        <v>Sol</v>
      </c>
    </row>
    <row r="103" spans="1:13" ht="12.5">
      <c r="A103" s="56" t="s">
        <v>1061</v>
      </c>
      <c r="B103" s="131" t="str">
        <f>HYPERLINK("http://codeforces.com/contest/219/problem/D","CF219-D2-D")</f>
        <v>CF219-D2-D</v>
      </c>
      <c r="C103" s="67"/>
      <c r="D103" s="67"/>
      <c r="E103" s="67"/>
      <c r="F103" s="67"/>
      <c r="G103" s="67"/>
      <c r="H103" s="67"/>
      <c r="I103" s="36">
        <f t="shared" si="0"/>
        <v>0</v>
      </c>
      <c r="J103" s="10"/>
      <c r="K103" s="10"/>
      <c r="M103" s="46"/>
    </row>
    <row r="104" spans="1:13" ht="12.5">
      <c r="A104" s="56" t="s">
        <v>1062</v>
      </c>
      <c r="B104" s="131" t="str">
        <f>HYPERLINK("http://codeforces.com/contest/149/problem/D","CF149-D2-D")</f>
        <v>CF149-D2-D</v>
      </c>
      <c r="C104" s="67"/>
      <c r="D104" s="67"/>
      <c r="E104" s="67"/>
      <c r="F104" s="67"/>
      <c r="G104" s="67"/>
      <c r="H104" s="67"/>
      <c r="I104" s="36">
        <f t="shared" si="0"/>
        <v>0</v>
      </c>
      <c r="J104" s="10"/>
      <c r="K104" s="10"/>
      <c r="M104" s="147" t="str">
        <f>HYPERLINK("https://github.com/osamahatem/CompetitiveProgramming/blob/master/Codeforces/149D.%20Coloring%20Brackets.cpp","Sol")</f>
        <v>Sol</v>
      </c>
    </row>
    <row r="105" spans="1:13" ht="12.5">
      <c r="A105" s="56" t="s">
        <v>1063</v>
      </c>
      <c r="B105" s="131" t="str">
        <f>HYPERLINK("http://codeforces.com/contest/263/problem/D","CF263-D2-D")</f>
        <v>CF263-D2-D</v>
      </c>
      <c r="C105" s="67"/>
      <c r="D105" s="67"/>
      <c r="E105" s="67"/>
      <c r="F105" s="67"/>
      <c r="G105" s="67"/>
      <c r="H105" s="67"/>
      <c r="I105" s="36">
        <f t="shared" si="0"/>
        <v>0</v>
      </c>
      <c r="J105" s="10"/>
      <c r="K105" s="10"/>
      <c r="L105" s="10"/>
      <c r="M105" s="56"/>
    </row>
    <row r="106" spans="1:13" ht="12.5">
      <c r="A106" s="56"/>
      <c r="B106" s="131" t="str">
        <f>HYPERLINK("https://codeforces.com/gym/101187/problem/F","CF101187-GYM-F")</f>
        <v>CF101187-GYM-F</v>
      </c>
      <c r="C106" s="67"/>
      <c r="D106" s="67"/>
      <c r="E106" s="67"/>
      <c r="F106" s="67"/>
      <c r="G106" s="67"/>
      <c r="H106" s="67"/>
      <c r="I106" s="36">
        <f t="shared" si="0"/>
        <v>0</v>
      </c>
      <c r="J106" s="10"/>
      <c r="K106" s="10"/>
      <c r="L106" s="10"/>
      <c r="M106" s="171" t="str">
        <f>HYPERLINK("https://github.com/SpeedOfMagic/CompetitiveProgramming/blob/master/CodeforcesGym/CF101187-GYM-F.cpp","Sol")</f>
        <v>Sol</v>
      </c>
    </row>
    <row r="107" spans="1:13" ht="12.5">
      <c r="A107" s="56"/>
      <c r="B107" s="56" t="s">
        <v>1064</v>
      </c>
      <c r="C107" s="67"/>
      <c r="D107" s="67"/>
      <c r="E107" s="67"/>
      <c r="F107" s="67"/>
      <c r="G107" s="67"/>
      <c r="H107" s="67"/>
      <c r="I107" s="36">
        <f t="shared" si="0"/>
        <v>0</v>
      </c>
      <c r="J107" s="10"/>
      <c r="K107" s="10"/>
      <c r="L107" s="10"/>
      <c r="M107" s="56"/>
    </row>
    <row r="108" spans="1:13" ht="12.5">
      <c r="A108" s="56"/>
      <c r="B108" s="131" t="str">
        <f>HYPERLINK("https://beta.atcoder.jp/contests/arc092/tasks/arc092_b","Atcoder092-ARC-B")</f>
        <v>Atcoder092-ARC-B</v>
      </c>
      <c r="C108" s="67"/>
      <c r="D108" s="67"/>
      <c r="E108" s="67"/>
      <c r="F108" s="67"/>
      <c r="G108" s="67"/>
      <c r="H108" s="67"/>
      <c r="I108" s="36">
        <f t="shared" si="0"/>
        <v>0</v>
      </c>
      <c r="J108" s="10"/>
      <c r="K108" s="10"/>
      <c r="L108" s="10"/>
      <c r="M108" s="56"/>
    </row>
    <row r="109" spans="1:13" ht="12.5">
      <c r="A109" s="56"/>
      <c r="B109" s="131" t="str">
        <f>HYPERLINK("https://agc002.contest.atcoder.jp/tasks/agc002_c","AtCoder002-AGC-C")</f>
        <v>AtCoder002-AGC-C</v>
      </c>
      <c r="C109" s="67"/>
      <c r="D109" s="67"/>
      <c r="E109" s="67"/>
      <c r="F109" s="67"/>
      <c r="G109" s="67"/>
      <c r="H109" s="67"/>
      <c r="I109" s="36">
        <f t="shared" si="0"/>
        <v>0</v>
      </c>
      <c r="J109" s="10"/>
      <c r="K109" s="10"/>
      <c r="L109" s="10"/>
      <c r="M109" s="56"/>
    </row>
    <row r="110" spans="1:13" ht="12.5">
      <c r="A110" s="150" t="s">
        <v>1065</v>
      </c>
      <c r="B110" s="192" t="str">
        <f>HYPERLINK("http://codeforces.com/contest/363/problem/C","CF363-D2-C")</f>
        <v>CF363-D2-C</v>
      </c>
      <c r="C110" s="67"/>
      <c r="D110" s="67"/>
      <c r="E110" s="67"/>
      <c r="F110" s="67"/>
      <c r="G110" s="67"/>
      <c r="H110" s="67"/>
      <c r="I110" s="36">
        <f t="shared" si="0"/>
        <v>0</v>
      </c>
      <c r="J110" s="10"/>
      <c r="K110" s="10"/>
      <c r="L110" s="10"/>
      <c r="M110" s="56"/>
    </row>
    <row r="111" spans="1:13" ht="12.5">
      <c r="A111" s="150" t="s">
        <v>1066</v>
      </c>
      <c r="B111" s="192" t="str">
        <f>HYPERLINK("http://codeforces.com/contest/194/problem/C","CF194-D2-C")</f>
        <v>CF194-D2-C</v>
      </c>
      <c r="C111" s="67"/>
      <c r="D111" s="67"/>
      <c r="E111" s="67"/>
      <c r="F111" s="67"/>
      <c r="G111" s="67"/>
      <c r="H111" s="67"/>
      <c r="I111" s="36">
        <f t="shared" si="0"/>
        <v>0</v>
      </c>
      <c r="J111" s="10"/>
      <c r="K111" s="10"/>
      <c r="L111" s="10"/>
      <c r="M111" s="56"/>
    </row>
    <row r="112" spans="1:13" ht="12.5">
      <c r="A112" s="150" t="s">
        <v>1067</v>
      </c>
      <c r="B112" s="192" t="str">
        <f>HYPERLINK("http://codeforces.com/contest/265/problem/C","CF265-D2-C")</f>
        <v>CF265-D2-C</v>
      </c>
      <c r="C112" s="67"/>
      <c r="D112" s="67"/>
      <c r="E112" s="67"/>
      <c r="F112" s="67"/>
      <c r="G112" s="67"/>
      <c r="H112" s="67"/>
      <c r="I112" s="36">
        <f t="shared" si="0"/>
        <v>0</v>
      </c>
      <c r="J112" s="10"/>
      <c r="K112" s="10"/>
      <c r="L112" s="10"/>
      <c r="M112" s="56"/>
    </row>
    <row r="113" spans="1:13" ht="13">
      <c r="A113" s="46"/>
      <c r="B113" s="56"/>
      <c r="C113" s="67"/>
      <c r="D113" s="67"/>
      <c r="E113" s="67"/>
      <c r="F113" s="67"/>
      <c r="G113" s="67"/>
      <c r="H113" s="67"/>
      <c r="I113" s="36">
        <f t="shared" si="0"/>
        <v>0</v>
      </c>
      <c r="J113" s="36"/>
      <c r="K113" s="36"/>
      <c r="L113" s="10"/>
      <c r="M113" s="246" t="str">
        <f>HYPERLINK("https://www.youtube.com/watch?v=OnysyxVPPD0","Geometry - Simple and Convex Polygons")</f>
        <v>Geometry - Simple and Convex Polygons</v>
      </c>
    </row>
    <row r="114" spans="1:13" ht="13">
      <c r="A114" s="46"/>
      <c r="B114" s="56"/>
      <c r="C114" s="67"/>
      <c r="D114" s="67"/>
      <c r="E114" s="67"/>
      <c r="F114" s="67"/>
      <c r="G114" s="67"/>
      <c r="H114" s="67"/>
      <c r="I114" s="36">
        <f t="shared" si="0"/>
        <v>0</v>
      </c>
      <c r="J114" s="36"/>
      <c r="K114" s="36"/>
      <c r="L114" s="10"/>
      <c r="M114" s="247" t="str">
        <f>HYPERLINK("w.youtube.com/watch?v=Cce_O7EKv2Y","Geometry - Polygon Area - Centroid - Cut")</f>
        <v>Geometry - Polygon Area - Centroid - Cut</v>
      </c>
    </row>
    <row r="115" spans="1:13" ht="25">
      <c r="A115" s="248" t="str">
        <f>HYPERLINK("https://community.topcoder.com/stat?c=problem_statement&amp;pm=5923&amp;rd=8075","BestTriangulation")</f>
        <v>BestTriangulation</v>
      </c>
      <c r="B115" s="237" t="s">
        <v>1068</v>
      </c>
      <c r="C115" s="67"/>
      <c r="D115" s="67"/>
      <c r="E115" s="67"/>
      <c r="F115" s="67"/>
      <c r="G115" s="67"/>
      <c r="H115" s="67"/>
      <c r="I115" s="36">
        <f t="shared" si="0"/>
        <v>0</v>
      </c>
      <c r="J115" s="36"/>
      <c r="K115" s="36"/>
      <c r="L115" s="10"/>
      <c r="M115" s="56"/>
    </row>
    <row r="116" spans="1:13" ht="12.5">
      <c r="A116" s="74" t="s">
        <v>1069</v>
      </c>
      <c r="B116" s="233" t="str">
        <f>HYPERLINK("https://uva.onlinejudge.org/index.php?option=onlinejudge&amp;page=show_problem&amp;problem=1029","UVA 10088")</f>
        <v>UVA 10088</v>
      </c>
      <c r="C116" s="67"/>
      <c r="D116" s="67"/>
      <c r="E116" s="67"/>
      <c r="F116" s="67"/>
      <c r="G116" s="67"/>
      <c r="H116" s="67"/>
      <c r="I116" s="36">
        <f t="shared" si="0"/>
        <v>0</v>
      </c>
      <c r="J116" s="36"/>
      <c r="K116" s="36"/>
      <c r="M116" s="10"/>
    </row>
    <row r="117" spans="1:13" ht="12.5">
      <c r="A117" s="74" t="s">
        <v>1070</v>
      </c>
      <c r="B117" s="233" t="str">
        <f>HYPERLINK("https://uva.onlinejudge.org/index.php?option=onlinejudge&amp;page=show_problem&amp;problem=946","UVA 10005")</f>
        <v>UVA 10005</v>
      </c>
      <c r="C117" s="67"/>
      <c r="D117" s="67"/>
      <c r="E117" s="67"/>
      <c r="F117" s="67"/>
      <c r="G117" s="67"/>
      <c r="H117" s="67"/>
      <c r="I117" s="36">
        <f t="shared" si="0"/>
        <v>0</v>
      </c>
      <c r="J117" s="36"/>
      <c r="K117" s="36"/>
      <c r="M117" s="147" t="str">
        <f>HYPERLINK("https://github.com/mostafa-saad/MyCompetitiveProgramming/blob/master/UVA/UVA_10005.txt","Sol")</f>
        <v>Sol</v>
      </c>
    </row>
    <row r="118" spans="1:13" ht="12.5">
      <c r="A118" s="229"/>
      <c r="B118" s="196" t="s">
        <v>1071</v>
      </c>
      <c r="C118" s="67"/>
      <c r="D118" s="67"/>
      <c r="E118" s="67"/>
      <c r="F118" s="67"/>
      <c r="G118" s="67"/>
      <c r="H118" s="67"/>
      <c r="I118" s="36">
        <f t="shared" si="0"/>
        <v>0</v>
      </c>
      <c r="J118" s="36"/>
      <c r="K118" s="36"/>
      <c r="M118" s="147" t="str">
        <f>HYPERLINK("https://github.com/MeGaCrazy/CompetitiveProgramming/blob/c9f4ed6571a135dbc26cfeeb099384a8fec2ff92/LiveArchive/LIVEARCHIVE_2831.cpp","Use polygon cut")</f>
        <v>Use polygon cut</v>
      </c>
    </row>
    <row r="119" spans="1:13" ht="12.5">
      <c r="A119" s="229" t="s">
        <v>1072</v>
      </c>
      <c r="B119" s="233" t="str">
        <f>HYPERLINK("https://uva.onlinejudge.org/index.php?option=com_onlinejudge&amp;Itemid=8&amp;page=show_problem&amp;problem=529","UVA 588")</f>
        <v>UVA 588</v>
      </c>
      <c r="C119" s="67"/>
      <c r="D119" s="67"/>
      <c r="E119" s="67"/>
      <c r="F119" s="67"/>
      <c r="G119" s="67"/>
      <c r="H119" s="67"/>
      <c r="I119" s="36">
        <f t="shared" si="0"/>
        <v>0</v>
      </c>
      <c r="J119" s="36"/>
      <c r="K119" s="36"/>
      <c r="M119" s="147" t="str">
        <f>HYPERLINK("https://github.com/mostafa-saad/MyCompetitiveProgramming/blob/master/UVA/588.cpp","Use polygon cut")</f>
        <v>Use polygon cut</v>
      </c>
    </row>
    <row r="120" spans="1:13" ht="12.5">
      <c r="A120" s="79"/>
      <c r="B120" s="206" t="s">
        <v>1073</v>
      </c>
      <c r="C120" s="67"/>
      <c r="D120" s="67"/>
      <c r="E120" s="67"/>
      <c r="F120" s="67"/>
      <c r="G120" s="67"/>
      <c r="H120" s="67"/>
      <c r="I120" s="36">
        <f t="shared" si="0"/>
        <v>0</v>
      </c>
      <c r="J120" s="10"/>
      <c r="K120" s="10"/>
      <c r="L120" s="10"/>
      <c r="M120" s="46"/>
    </row>
    <row r="121" spans="1:13" ht="12.5">
      <c r="A121" s="79"/>
      <c r="B121" s="79" t="s">
        <v>1074</v>
      </c>
      <c r="C121" s="67"/>
      <c r="D121" s="67"/>
      <c r="E121" s="67"/>
      <c r="F121" s="67"/>
      <c r="G121" s="67"/>
      <c r="H121" s="67"/>
      <c r="I121" s="36">
        <f t="shared" si="0"/>
        <v>0</v>
      </c>
      <c r="J121" s="10"/>
      <c r="K121" s="10"/>
      <c r="L121" s="10"/>
      <c r="M121" s="46"/>
    </row>
    <row r="122" spans="1:13" ht="12.5">
      <c r="A122" s="79"/>
      <c r="B122" s="79" t="s">
        <v>1075</v>
      </c>
      <c r="C122" s="67"/>
      <c r="D122" s="67"/>
      <c r="E122" s="67"/>
      <c r="F122" s="67"/>
      <c r="G122" s="67"/>
      <c r="H122" s="67"/>
      <c r="I122" s="36">
        <f t="shared" si="0"/>
        <v>0</v>
      </c>
      <c r="J122" s="10"/>
      <c r="K122" s="10"/>
      <c r="L122" s="10"/>
      <c r="M122" s="46"/>
    </row>
    <row r="123" spans="1:13" ht="12.5">
      <c r="A123" s="79"/>
      <c r="B123" s="79" t="s">
        <v>1076</v>
      </c>
      <c r="C123" s="67"/>
      <c r="D123" s="67"/>
      <c r="E123" s="67"/>
      <c r="F123" s="67"/>
      <c r="G123" s="67"/>
      <c r="H123" s="67"/>
      <c r="I123" s="36">
        <f t="shared" si="0"/>
        <v>0</v>
      </c>
      <c r="J123" s="10"/>
      <c r="K123" s="10"/>
      <c r="L123" s="10"/>
      <c r="M123" s="147" t="str">
        <f>HYPERLINK("https://github.com/aboodJAD/CompetitiveProgramming/blob/master/UVA/UVA%20557.cpp","Sol")</f>
        <v>Sol</v>
      </c>
    </row>
    <row r="124" spans="1:13" ht="12.5">
      <c r="A124" s="79"/>
      <c r="B124" s="79" t="s">
        <v>1077</v>
      </c>
      <c r="C124" s="67"/>
      <c r="D124" s="67"/>
      <c r="E124" s="67"/>
      <c r="F124" s="67"/>
      <c r="G124" s="67"/>
      <c r="H124" s="67"/>
      <c r="I124" s="36">
        <f t="shared" si="0"/>
        <v>0</v>
      </c>
      <c r="J124" s="10"/>
      <c r="K124" s="10"/>
      <c r="L124" s="10"/>
      <c r="M124" s="46"/>
    </row>
    <row r="125" spans="1:13" ht="12.5">
      <c r="A125" s="79" t="s">
        <v>1078</v>
      </c>
      <c r="B125" s="215" t="str">
        <f>HYPERLINK("https://www.hackerrank.com/challenges/xrange-and-pizza","HACKR xrange-and-pizza")</f>
        <v>HACKR xrange-and-pizza</v>
      </c>
      <c r="C125" s="67"/>
      <c r="D125" s="67"/>
      <c r="E125" s="67"/>
      <c r="F125" s="67"/>
      <c r="G125" s="67"/>
      <c r="H125" s="67"/>
      <c r="I125" s="36">
        <f t="shared" si="0"/>
        <v>0</v>
      </c>
      <c r="J125" s="36"/>
      <c r="K125" s="36"/>
      <c r="M125" s="147" t="str">
        <f>HYPERLINK("https://github.com/AbdelrahmanRamadan/competitive-programming/blob/master/HackerRank/xrange-and-pizza.cpp","Sol")</f>
        <v>Sol</v>
      </c>
    </row>
    <row r="126" spans="1:13" ht="12.5">
      <c r="A126" s="79"/>
      <c r="B126" s="79" t="s">
        <v>1079</v>
      </c>
      <c r="C126" s="67"/>
      <c r="D126" s="67"/>
      <c r="E126" s="67"/>
      <c r="F126" s="67"/>
      <c r="G126" s="67"/>
      <c r="H126" s="67"/>
      <c r="I126" s="36">
        <f t="shared" si="0"/>
        <v>0</v>
      </c>
      <c r="J126" s="36"/>
      <c r="K126" s="36"/>
      <c r="M126" s="46"/>
    </row>
    <row r="127" spans="1:13" ht="12.5">
      <c r="A127" s="79"/>
      <c r="B127" s="79" t="s">
        <v>1080</v>
      </c>
      <c r="C127" s="67"/>
      <c r="D127" s="67"/>
      <c r="E127" s="67"/>
      <c r="F127" s="67"/>
      <c r="G127" s="67"/>
      <c r="H127" s="67"/>
      <c r="I127" s="36">
        <f t="shared" si="0"/>
        <v>0</v>
      </c>
      <c r="J127" s="36"/>
      <c r="K127" s="36"/>
      <c r="M127" s="147" t="str">
        <f>HYPERLINK("https://github.com/mostafa-saad/MyCompetitiveProgramming/blob/master/UVA/UVA_11648.txt", "Sol")</f>
        <v>Sol</v>
      </c>
    </row>
    <row r="128" spans="1:13" ht="12.5">
      <c r="A128" s="79"/>
      <c r="B128" s="215" t="str">
        <f>HYPERLINK("http://codeforces.com/gym/101864/problem/A","CF101864-GYM-A")</f>
        <v>CF101864-GYM-A</v>
      </c>
      <c r="C128" s="67"/>
      <c r="D128" s="67"/>
      <c r="E128" s="67"/>
      <c r="F128" s="67"/>
      <c r="G128" s="67"/>
      <c r="H128" s="67"/>
      <c r="I128" s="36">
        <f t="shared" si="0"/>
        <v>0</v>
      </c>
      <c r="J128" s="36"/>
      <c r="K128" s="36"/>
      <c r="M128" s="147" t="str">
        <f>HYPERLINK("https://github.com/SpeedOfMagic/CompetitiveProgramming/blob/master/CodeforcesGym/CF101864-GYM-A.cpp","Sol")</f>
        <v>Sol</v>
      </c>
    </row>
    <row r="129" spans="1:13" ht="12.5">
      <c r="A129" s="79"/>
      <c r="B129" s="215" t="str">
        <f>HYPERLINK("http://codeforces.com/gym/101864/problem/L","CF101864-GYM-L")</f>
        <v>CF101864-GYM-L</v>
      </c>
      <c r="C129" s="67"/>
      <c r="D129" s="67"/>
      <c r="E129" s="67"/>
      <c r="F129" s="67"/>
      <c r="G129" s="67"/>
      <c r="H129" s="67"/>
      <c r="I129" s="36">
        <f t="shared" si="0"/>
        <v>0</v>
      </c>
      <c r="J129" s="36"/>
      <c r="K129" s="36"/>
      <c r="M129" s="147" t="str">
        <f>HYPERLINK("https://github.com/SpeedOfMagic/CompetitiveProgramming/blob/master/CodeforcesGym/CF101864-GYM-L.cpp","Sol")</f>
        <v>Sol</v>
      </c>
    </row>
    <row r="130" spans="1:13" ht="12.5">
      <c r="A130" s="79"/>
      <c r="B130" s="215" t="str">
        <f>HYPERLINK("http://codeforces.com/contest/28/problem/C","CF28-D12-C")</f>
        <v>CF28-D12-C</v>
      </c>
      <c r="C130" s="67"/>
      <c r="D130" s="67"/>
      <c r="E130" s="67"/>
      <c r="F130" s="67"/>
      <c r="G130" s="67"/>
      <c r="H130" s="67"/>
      <c r="I130" s="36">
        <f t="shared" si="0"/>
        <v>0</v>
      </c>
      <c r="J130" s="36"/>
      <c r="K130" s="36"/>
      <c r="M130" s="46"/>
    </row>
    <row r="131" spans="1:13" ht="13">
      <c r="A131" s="67"/>
      <c r="B131" s="56"/>
      <c r="C131" s="67"/>
      <c r="D131" s="67"/>
      <c r="E131" s="67"/>
      <c r="F131" s="67"/>
      <c r="G131" s="67"/>
      <c r="H131" s="67"/>
      <c r="I131" s="36">
        <f t="shared" si="0"/>
        <v>0</v>
      </c>
      <c r="J131" s="36"/>
      <c r="K131" s="36"/>
      <c r="L131" s="10"/>
      <c r="M131" s="249" t="str">
        <f>HYPERLINK("https://www.youtube.com/watch?v=I5A6OYH1yuM","Geometry - Point in polygon")</f>
        <v>Geometry - Point in polygon</v>
      </c>
    </row>
    <row r="132" spans="1:13" ht="12.5">
      <c r="A132" s="74"/>
      <c r="B132" s="74" t="s">
        <v>1081</v>
      </c>
      <c r="C132" s="67"/>
      <c r="D132" s="67"/>
      <c r="E132" s="67"/>
      <c r="F132" s="67"/>
      <c r="G132" s="67"/>
      <c r="H132" s="67"/>
      <c r="I132" s="36">
        <f t="shared" si="0"/>
        <v>0</v>
      </c>
      <c r="J132" s="36"/>
      <c r="K132" s="36"/>
      <c r="M132" s="147" t="str">
        <f>HYPERLINK("https://github.com/mostafa-saad/MyCompetitiveProgramming/blob/master/UVA/UVA_881.txt","Sol")</f>
        <v>Sol</v>
      </c>
    </row>
    <row r="133" spans="1:13" ht="12.5">
      <c r="A133" s="74"/>
      <c r="B133" s="74" t="s">
        <v>1082</v>
      </c>
      <c r="C133" s="67"/>
      <c r="D133" s="67"/>
      <c r="E133" s="67"/>
      <c r="F133" s="67"/>
      <c r="G133" s="67"/>
      <c r="H133" s="67"/>
      <c r="I133" s="36">
        <f t="shared" si="0"/>
        <v>0</v>
      </c>
      <c r="J133" s="36"/>
      <c r="K133" s="36"/>
      <c r="M133" s="147" t="str">
        <f>HYPERLINK("https://github.com/AbdelrahmanRamadan/competitive-programming/blob/master/UVA/11665%20-%20Chinese%20Ink.cpp","Sol")</f>
        <v>Sol</v>
      </c>
    </row>
    <row r="134" spans="1:13" ht="12.5">
      <c r="A134" s="74"/>
      <c r="B134" s="74" t="s">
        <v>1083</v>
      </c>
      <c r="C134" s="67"/>
      <c r="D134" s="67"/>
      <c r="E134" s="67"/>
      <c r="F134" s="67"/>
      <c r="G134" s="67"/>
      <c r="H134" s="67"/>
      <c r="I134" s="36">
        <f t="shared" si="0"/>
        <v>0</v>
      </c>
      <c r="J134" s="36"/>
      <c r="K134" s="36"/>
      <c r="M134" s="147" t="str">
        <f>HYPERLINK("https://github.com/AbdelrahmanRamadan/competitive-programming/blob/master/Timus/1599-Winding-Number.cpp","Sol")</f>
        <v>Sol</v>
      </c>
    </row>
    <row r="135" spans="1:13" ht="12.5">
      <c r="A135" s="179" t="s">
        <v>1084</v>
      </c>
      <c r="B135" s="233" t="str">
        <f>HYPERLINK("https://uva.onlinejudge.org/index.php?option=onlinejudge&amp;page=show_problem&amp;problem=73","UVA 137")</f>
        <v>UVA 137</v>
      </c>
      <c r="C135" s="67"/>
      <c r="D135" s="67"/>
      <c r="E135" s="67"/>
      <c r="F135" s="67"/>
      <c r="G135" s="67"/>
      <c r="H135" s="67"/>
      <c r="I135" s="36">
        <f t="shared" si="0"/>
        <v>0</v>
      </c>
      <c r="J135" s="36"/>
      <c r="K135" s="36"/>
      <c r="M135" s="147" t="str">
        <f>HYPERLINK("https://github.com/mostafa-saad/MyCompetitiveProgramming/blob/master/UVA/UVA_137.txt","Sol")</f>
        <v>Sol</v>
      </c>
    </row>
    <row r="136" spans="1:13" ht="13">
      <c r="A136" s="228"/>
      <c r="B136" s="228"/>
      <c r="C136" s="67"/>
      <c r="D136" s="67"/>
      <c r="E136" s="67"/>
      <c r="F136" s="67"/>
      <c r="G136" s="67"/>
      <c r="H136" s="67"/>
      <c r="I136" s="36">
        <f t="shared" si="0"/>
        <v>0</v>
      </c>
      <c r="J136" s="36"/>
      <c r="K136" s="36"/>
      <c r="L136" s="10"/>
      <c r="M136" s="194" t="str">
        <f>HYPERLINK("https://www.youtube.com/watch?v=QuOiEwefssM&amp;t=2s&amp;list=PLPt2dINI2MIb4OXlJ_EEwIDV9WVUpRQ5K&amp;index=16","Graph Theory - Maximum Flow (2 vid)")</f>
        <v>Graph Theory - Maximum Flow (2 vid)</v>
      </c>
    </row>
    <row r="137" spans="1:13" ht="12.5">
      <c r="A137" s="74" t="s">
        <v>1085</v>
      </c>
      <c r="B137" s="250" t="str">
        <f>HYPERLINK("http://www.spoj.com/problems/POTHOLE/","SPOJ POTHOLE")</f>
        <v>SPOJ POTHOLE</v>
      </c>
      <c r="C137" s="67"/>
      <c r="D137" s="67"/>
      <c r="E137" s="67"/>
      <c r="F137" s="67"/>
      <c r="G137" s="67"/>
      <c r="H137" s="67"/>
      <c r="I137" s="36">
        <f t="shared" si="0"/>
        <v>0</v>
      </c>
      <c r="J137" s="36"/>
      <c r="K137" s="36"/>
      <c r="L137" s="10"/>
      <c r="M137" s="147" t="str">
        <f>HYPERLINK("https://github.com/BRAINOOOO/CompetitiveProgramming/blob/682cdb2f527d2ab262a9f616687b53a158b281a4/Spoj/SPOJ%20POTHOLE.Cpp","Sol")</f>
        <v>Sol</v>
      </c>
    </row>
    <row r="138" spans="1:13" ht="12.5">
      <c r="A138" s="74" t="s">
        <v>1086</v>
      </c>
      <c r="B138" s="140" t="str">
        <f>HYPERLINK("https://uva.onlinejudge.org/index.php?option=onlinejudge&amp;page=show_problem&amp;problem=1271","UVA 10330")</f>
        <v>UVA 10330</v>
      </c>
      <c r="C138" s="67"/>
      <c r="D138" s="67"/>
      <c r="E138" s="67"/>
      <c r="F138" s="67"/>
      <c r="G138" s="67"/>
      <c r="H138" s="67"/>
      <c r="I138" s="36">
        <f t="shared" si="0"/>
        <v>0</v>
      </c>
      <c r="J138" s="36"/>
      <c r="K138" s="36"/>
      <c r="L138" s="10"/>
      <c r="M138" s="147" t="str">
        <f>HYPERLINK("https://github.com/ilyesG/Competitive-Programming/blob/master/UVA/UVA%2010330.cpp","Sol")</f>
        <v>Sol</v>
      </c>
    </row>
    <row r="139" spans="1:13" ht="12.5">
      <c r="A139" s="74" t="s">
        <v>1087</v>
      </c>
      <c r="B139" s="251" t="str">
        <f>HYPERLINK("https://uva.onlinejudge.org/index.php?option=com_onlinejudge&amp;Itemid=8&amp;page=show_problem&amp;problem=1021","UVA 10080")</f>
        <v>UVA 10080</v>
      </c>
      <c r="C139" s="67"/>
      <c r="D139" s="67"/>
      <c r="E139" s="67"/>
      <c r="F139" s="67"/>
      <c r="G139" s="67"/>
      <c r="H139" s="67"/>
      <c r="I139" s="36">
        <f t="shared" si="0"/>
        <v>0</v>
      </c>
      <c r="J139" s="36"/>
      <c r="K139" s="36"/>
      <c r="L139" s="10"/>
      <c r="M139" s="147" t="str">
        <f>HYPERLINK("https://github.com/ilyesG/Competitive-Programming/blob/master/UVA/UVA%2010080.cpp","Sol")</f>
        <v>Sol</v>
      </c>
    </row>
    <row r="140" spans="1:13" ht="12.5">
      <c r="A140" s="74" t="s">
        <v>1088</v>
      </c>
      <c r="B140" s="140" t="str">
        <f>HYPERLINK("https://uva.onlinejudge.org/index.php?option=com_onlinejudge&amp;Itemid=8&amp;page=show_problem&amp;problem=195","UVA 259")</f>
        <v>UVA 259</v>
      </c>
      <c r="C140" s="67"/>
      <c r="D140" s="67"/>
      <c r="E140" s="67"/>
      <c r="F140" s="67"/>
      <c r="G140" s="67"/>
      <c r="H140" s="67"/>
      <c r="I140" s="36">
        <f t="shared" si="0"/>
        <v>0</v>
      </c>
      <c r="J140" s="36"/>
      <c r="K140" s="36"/>
      <c r="L140" s="10"/>
      <c r="M140" s="147" t="str">
        <f>HYPERLINK("https://github.com/mostafa-saad/MyCompetitiveProgramming/blob/master/UVA/UVA_259.txt","Sol")</f>
        <v>Sol</v>
      </c>
    </row>
    <row r="141" spans="1:13" ht="12.5">
      <c r="A141" s="74"/>
      <c r="B141" s="251" t="str">
        <f>HYPERLINK("https://uva.onlinejudge.org/index.php?option=onlinejudge&amp;page=show_problem&amp;problem=1290","UVA 10349")</f>
        <v>UVA 10349</v>
      </c>
      <c r="C141" s="67"/>
      <c r="D141" s="67"/>
      <c r="E141" s="67"/>
      <c r="F141" s="67"/>
      <c r="G141" s="67"/>
      <c r="H141" s="67"/>
      <c r="I141" s="36">
        <f t="shared" si="0"/>
        <v>0</v>
      </c>
      <c r="J141" s="36"/>
      <c r="K141" s="36"/>
      <c r="L141" s="10"/>
      <c r="M141" s="147" t="str">
        <f>HYPERLINK("https://github.com/mostafa-saad/MyCompetitiveProgramming/blob/master/UVA/UVA_10349.txt","Sol - 2 ways")</f>
        <v>Sol - 2 ways</v>
      </c>
    </row>
    <row r="142" spans="1:13" ht="12.5">
      <c r="A142" s="74"/>
      <c r="B142" s="183" t="s">
        <v>1089</v>
      </c>
      <c r="C142" s="67"/>
      <c r="D142" s="67"/>
      <c r="E142" s="67"/>
      <c r="F142" s="67"/>
      <c r="G142" s="67"/>
      <c r="H142" s="67"/>
      <c r="I142" s="36">
        <f t="shared" si="0"/>
        <v>0</v>
      </c>
      <c r="J142" s="36"/>
      <c r="K142" s="36"/>
      <c r="L142" s="10"/>
      <c r="M142" s="147" t="str">
        <f>HYPERLINK("https://github.com/BRAINOOOO/CompetitiveProgramming/blob/master/UVA/V-121/UVA%2012168.Cpp","Sol")</f>
        <v>Sol</v>
      </c>
    </row>
    <row r="143" spans="1:13" ht="12.5">
      <c r="A143" s="74" t="s">
        <v>1090</v>
      </c>
      <c r="B143" s="140" t="str">
        <f>HYPERLINK("https://uva.onlinejudge.org/index.php?option=onlinejudge&amp;page=show_problem&amp;problem=694","UVA 753")</f>
        <v>UVA 753</v>
      </c>
      <c r="C143" s="67"/>
      <c r="D143" s="67"/>
      <c r="E143" s="67"/>
      <c r="F143" s="67"/>
      <c r="G143" s="67"/>
      <c r="H143" s="67"/>
      <c r="I143" s="36">
        <f t="shared" si="0"/>
        <v>0</v>
      </c>
      <c r="J143" s="36"/>
      <c r="K143" s="36"/>
      <c r="L143" s="10"/>
      <c r="M143" s="147" t="str">
        <f>HYPERLINK("https://github.com/BRAINOOOO/CompetitiveProgramming/blob/master/UVA/V-7/UVA%20753.Cpp","Sol")</f>
        <v>Sol</v>
      </c>
    </row>
    <row r="144" spans="1:13" ht="12.5">
      <c r="A144" s="74"/>
      <c r="B144" s="252" t="str">
        <f>HYPERLINK("https://uva.onlinejudge.org/index.php?option=onlinejudge&amp;page=show_problem&amp;problem=1290","UVA 10349")</f>
        <v>UVA 10349</v>
      </c>
      <c r="C144" s="67"/>
      <c r="D144" s="67"/>
      <c r="E144" s="67"/>
      <c r="F144" s="67"/>
      <c r="G144" s="67"/>
      <c r="H144" s="67"/>
      <c r="I144" s="36">
        <f t="shared" si="0"/>
        <v>0</v>
      </c>
      <c r="J144" s="36"/>
      <c r="K144" s="36"/>
      <c r="L144" s="10"/>
      <c r="M144" s="147" t="str">
        <f>HYPERLINK("https://github.com/mostafa-saad/MyCompetitiveProgramming/blob/master/UVA/UVA_10349.txt","Sol - 2 ways")</f>
        <v>Sol - 2 ways</v>
      </c>
    </row>
    <row r="145" spans="1:13" ht="12.5">
      <c r="A145" s="74" t="s">
        <v>1091</v>
      </c>
      <c r="B145" s="253" t="str">
        <f>HYPERLINK("http://www.spoj.com/problems/IM","SPOJ IM")</f>
        <v>SPOJ IM</v>
      </c>
      <c r="C145" s="67"/>
      <c r="D145" s="67"/>
      <c r="E145" s="67"/>
      <c r="F145" s="67"/>
      <c r="G145" s="67"/>
      <c r="H145" s="67"/>
      <c r="I145" s="36">
        <f t="shared" si="0"/>
        <v>0</v>
      </c>
      <c r="J145" s="36"/>
      <c r="K145" s="36"/>
      <c r="L145" s="10"/>
      <c r="M145" s="147" t="str">
        <f>HYPERLINK("https://github.com/mostafa-saad/MyCompetitiveProgramming/blob/master/SPOJ/SPOJ_IM.txt","Sol")</f>
        <v>Sol</v>
      </c>
    </row>
    <row r="146" spans="1:13" ht="12.5">
      <c r="A146" s="74"/>
      <c r="B146" s="252" t="str">
        <f>HYPERLINK("https://uva.onlinejudge.org/index.php?option=com_onlinejudge&amp;Itemid=8&amp;page=show_problem&amp;problem=2100","UVA 11159")</f>
        <v>UVA 11159</v>
      </c>
      <c r="C146" s="67"/>
      <c r="D146" s="67"/>
      <c r="E146" s="67"/>
      <c r="F146" s="67"/>
      <c r="G146" s="67"/>
      <c r="H146" s="67"/>
      <c r="I146" s="36">
        <f t="shared" si="0"/>
        <v>0</v>
      </c>
      <c r="J146" s="36"/>
      <c r="K146" s="36"/>
      <c r="L146" s="10"/>
      <c r="M146" s="147" t="str">
        <f>HYPERLINK("https://github.com/mostafa-saad/MyCompetitiveProgramming/blob/master/UVA/UVA_11159.txt","Sol")</f>
        <v>Sol</v>
      </c>
    </row>
    <row r="147" spans="1:13" ht="12.5">
      <c r="A147" s="74"/>
      <c r="B147" s="183" t="s">
        <v>1092</v>
      </c>
      <c r="C147" s="67"/>
      <c r="D147" s="67"/>
      <c r="E147" s="67"/>
      <c r="F147" s="67"/>
      <c r="G147" s="67"/>
      <c r="H147" s="67"/>
      <c r="I147" s="36">
        <f t="shared" si="0"/>
        <v>0</v>
      </c>
      <c r="J147" s="36"/>
      <c r="K147" s="36"/>
      <c r="L147" s="10"/>
      <c r="M147" s="147" t="str">
        <f>HYPERLINK("https://github.com/ilyesG/Competitive-Programming/blob/master/UVA/UVA%201194.cpp","Sol")</f>
        <v>Sol</v>
      </c>
    </row>
    <row r="148" spans="1:13" ht="12.5">
      <c r="A148" s="205" t="s">
        <v>1093</v>
      </c>
      <c r="B148" s="254" t="str">
        <f>HYPERLINK("http://poj.org/problem?id=2374","PKU 2374")</f>
        <v>PKU 2374</v>
      </c>
      <c r="C148" s="67"/>
      <c r="D148" s="67"/>
      <c r="E148" s="67"/>
      <c r="F148" s="67"/>
      <c r="G148" s="67"/>
      <c r="H148" s="67"/>
      <c r="I148" s="36">
        <f t="shared" si="0"/>
        <v>0</v>
      </c>
      <c r="J148" s="10"/>
      <c r="K148" s="10"/>
      <c r="M148" s="147" t="str">
        <f>HYPERLINK("https://github.com/mostafa-saad/MyCompetitiveProgramming/blob/master/PKU/PKU_2374.txt","Sol")</f>
        <v>Sol</v>
      </c>
    </row>
    <row r="149" spans="1:13" ht="12.5">
      <c r="A149" s="79" t="s">
        <v>1094</v>
      </c>
      <c r="B149" s="205" t="s">
        <v>1095</v>
      </c>
      <c r="C149" s="67"/>
      <c r="D149" s="67"/>
      <c r="E149" s="67"/>
      <c r="F149" s="67"/>
      <c r="G149" s="67"/>
      <c r="H149" s="67"/>
      <c r="I149" s="36">
        <f t="shared" si="0"/>
        <v>0</v>
      </c>
      <c r="J149" s="10"/>
      <c r="K149" s="10"/>
      <c r="M149" s="147" t="str">
        <f>HYPERLINK("https://github.com/mostafa-saad/MyCompetitiveProgramming/blob/master/UVA/UVA_10514.txt","Sol")</f>
        <v>Sol</v>
      </c>
    </row>
    <row r="150" spans="1:13" ht="12.5">
      <c r="A150" s="79"/>
      <c r="B150" s="205" t="s">
        <v>1096</v>
      </c>
      <c r="C150" s="67"/>
      <c r="D150" s="67"/>
      <c r="E150" s="67"/>
      <c r="F150" s="67"/>
      <c r="G150" s="67"/>
      <c r="H150" s="67"/>
      <c r="I150" s="36">
        <f t="shared" si="0"/>
        <v>0</v>
      </c>
      <c r="J150" s="10"/>
      <c r="K150" s="10"/>
      <c r="M150" s="147" t="str">
        <f>HYPERLINK("https://github.com/AbdelrahmanRamadan/competitive-programming/blob/master/Topcoder/SRM368%20Jumping%20Board.cpp","Sol")</f>
        <v>Sol</v>
      </c>
    </row>
    <row r="151" spans="1:13" ht="12.5">
      <c r="A151" s="79"/>
      <c r="B151" s="205" t="s">
        <v>1097</v>
      </c>
      <c r="C151" s="67"/>
      <c r="D151" s="67"/>
      <c r="E151" s="67"/>
      <c r="F151" s="67"/>
      <c r="G151" s="67"/>
      <c r="H151" s="67"/>
      <c r="I151" s="36">
        <f t="shared" si="0"/>
        <v>0</v>
      </c>
      <c r="J151" s="10"/>
      <c r="K151" s="10"/>
      <c r="M151" s="147" t="str">
        <f>HYPERLINK("https://github.com/AbdelrahmanRamadan/competitive-programming/blob/master/Topcoder/SRM373%20RectangleCrossings.cpp","Sol")</f>
        <v>Sol</v>
      </c>
    </row>
    <row r="152" spans="1:13" ht="12.5">
      <c r="A152" s="79"/>
      <c r="B152" s="79" t="s">
        <v>1098</v>
      </c>
      <c r="C152" s="67"/>
      <c r="D152" s="67"/>
      <c r="E152" s="67"/>
      <c r="F152" s="67"/>
      <c r="G152" s="67"/>
      <c r="H152" s="67"/>
      <c r="I152" s="36">
        <f t="shared" si="0"/>
        <v>0</v>
      </c>
      <c r="J152" s="10"/>
      <c r="K152" s="10"/>
      <c r="L152" s="10"/>
      <c r="M152" s="176" t="str">
        <f>HYPERLINK("https://github.com/WaleedAbdelhakim/Competitive-Programming/blob/master/ZOJ/2587.cpp","Sol")</f>
        <v>Sol</v>
      </c>
    </row>
    <row r="153" spans="1:13" ht="12.5">
      <c r="A153" s="79"/>
      <c r="B153" s="79" t="s">
        <v>1099</v>
      </c>
      <c r="C153" s="67"/>
      <c r="D153" s="67"/>
      <c r="E153" s="67"/>
      <c r="F153" s="67"/>
      <c r="G153" s="67"/>
      <c r="H153" s="67"/>
      <c r="I153" s="36">
        <f t="shared" si="0"/>
        <v>0</v>
      </c>
      <c r="J153" s="10"/>
      <c r="K153" s="10"/>
      <c r="L153" s="10"/>
      <c r="M153" s="147" t="str">
        <f>HYPERLINK("https://github.com/OmarHashim/Competitive-Programming/blob/master/UVA/10180.cpp","Sol")</f>
        <v>Sol</v>
      </c>
    </row>
    <row r="154" spans="1:13" ht="12.5">
      <c r="A154" s="79"/>
      <c r="B154" s="79" t="s">
        <v>1100</v>
      </c>
      <c r="C154" s="67"/>
      <c r="D154" s="67"/>
      <c r="E154" s="67"/>
      <c r="F154" s="67"/>
      <c r="G154" s="67"/>
      <c r="H154" s="67"/>
      <c r="I154" s="36">
        <f t="shared" si="0"/>
        <v>0</v>
      </c>
      <c r="J154" s="10"/>
      <c r="K154" s="10"/>
      <c r="L154" s="10"/>
      <c r="M154" s="132" t="str">
        <f>HYPERLINK("https://github.com/AhmedRamadanAbdElghany/CompetitiveProgramming/blob/master/UVA/1184.cpp","Sol")</f>
        <v>Sol</v>
      </c>
    </row>
    <row r="155" spans="1:13" ht="12.5">
      <c r="A155" s="79"/>
      <c r="B155" s="79" t="s">
        <v>1101</v>
      </c>
      <c r="C155" s="67"/>
      <c r="D155" s="67"/>
      <c r="E155" s="67"/>
      <c r="F155" s="67"/>
      <c r="G155" s="67"/>
      <c r="H155" s="67"/>
      <c r="I155" s="36">
        <f t="shared" si="0"/>
        <v>0</v>
      </c>
      <c r="J155" s="10"/>
      <c r="K155" s="10"/>
      <c r="L155" s="10"/>
      <c r="M155" s="132" t="str">
        <f>HYPERLINK("https://github.com/tanmoy13/CompetitveProgramming/blob/master/Online-Judge-Solutions/UVA/670%20-%20The%20dog%20task.cpp","Sol")</f>
        <v>Sol</v>
      </c>
    </row>
    <row r="156" spans="1:13" ht="12.5">
      <c r="A156" s="79"/>
      <c r="B156" s="79" t="s">
        <v>1102</v>
      </c>
      <c r="C156" s="67"/>
      <c r="D156" s="67"/>
      <c r="E156" s="67"/>
      <c r="F156" s="67"/>
      <c r="G156" s="67"/>
      <c r="H156" s="67"/>
      <c r="I156" s="36">
        <f t="shared" si="0"/>
        <v>0</v>
      </c>
      <c r="J156" s="10"/>
      <c r="K156" s="10"/>
      <c r="L156" s="10"/>
      <c r="M156" s="46"/>
    </row>
    <row r="157" spans="1:13" ht="12.5">
      <c r="A157" s="79"/>
      <c r="B157" s="79" t="s">
        <v>1103</v>
      </c>
      <c r="C157" s="67"/>
      <c r="D157" s="67"/>
      <c r="E157" s="67"/>
      <c r="F157" s="67"/>
      <c r="G157" s="67"/>
      <c r="H157" s="67"/>
      <c r="I157" s="36">
        <f t="shared" si="0"/>
        <v>0</v>
      </c>
      <c r="J157" s="10"/>
      <c r="K157" s="10"/>
      <c r="L157" s="10"/>
      <c r="M157" s="46"/>
    </row>
    <row r="158" spans="1:13" ht="12.5">
      <c r="A158" s="79"/>
      <c r="B158" s="79" t="s">
        <v>1104</v>
      </c>
      <c r="C158" s="67"/>
      <c r="D158" s="67"/>
      <c r="E158" s="67"/>
      <c r="F158" s="67"/>
      <c r="G158" s="67"/>
      <c r="H158" s="67"/>
      <c r="I158" s="36">
        <f t="shared" si="0"/>
        <v>0</v>
      </c>
      <c r="J158" s="10"/>
      <c r="K158" s="10"/>
      <c r="L158" s="10"/>
      <c r="M158" s="10"/>
    </row>
  </sheetData>
  <conditionalFormatting sqref="C3:C158 A131 A136:B136">
    <cfRule type="cellIs" dxfId="23" priority="4" operator="equal">
      <formula>"AC"</formula>
    </cfRule>
    <cfRule type="containsText" dxfId="22" priority="5" operator="containsText" text="WA">
      <formula>NOT(ISERROR(SEARCH(("WA"),(C3))))</formula>
    </cfRule>
    <cfRule type="containsText" dxfId="21" priority="7" operator="containsText" text="TLE">
      <formula>NOT(ISERROR(SEARCH(("TLE"),(C3))))</formula>
    </cfRule>
    <cfRule type="containsText" dxfId="20" priority="9" operator="containsText" text="RTE">
      <formula>NOT(ISERROR(SEARCH(("RTE"),(C3))))</formula>
    </cfRule>
    <cfRule type="containsText" dxfId="19" priority="11" operator="containsText" text="CS">
      <formula>NOT(ISERROR(SEARCH(("CS"),(C3))))</formula>
    </cfRule>
  </conditionalFormatting>
  <conditionalFormatting sqref="K3:K158">
    <cfRule type="cellIs" dxfId="18" priority="1" operator="equal">
      <formula>"No"</formula>
    </cfRule>
    <cfRule type="cellIs" dxfId="17" priority="2" operator="equal">
      <formula>"no"</formula>
    </cfRule>
    <cfRule type="cellIs" dxfId="16" priority="3" operator="equal">
      <formula>"NO"</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M168"/>
  <sheetViews>
    <sheetView workbookViewId="0">
      <pane xSplit="2" ySplit="2" topLeftCell="C131" activePane="bottomRight" state="frozen"/>
      <selection pane="topRight" activeCell="C1" sqref="C1"/>
      <selection pane="bottomLeft" activeCell="A3" sqref="A3"/>
      <selection pane="bottomRight" activeCell="B132" sqref="B132"/>
    </sheetView>
  </sheetViews>
  <sheetFormatPr defaultColWidth="15.1796875" defaultRowHeight="15.75" customHeight="1"/>
  <cols>
    <col min="1" max="1" width="13.7265625" customWidth="1"/>
    <col min="2" max="2" width="17.453125" customWidth="1"/>
    <col min="3" max="3" width="6" customWidth="1"/>
    <col min="4" max="4" width="6.54296875" customWidth="1"/>
    <col min="5" max="5" width="7.453125" customWidth="1"/>
    <col min="6" max="6" width="7.54296875" customWidth="1"/>
    <col min="7" max="7" width="8.7265625" customWidth="1"/>
    <col min="8" max="9" width="7.453125" customWidth="1"/>
    <col min="10" max="12" width="8.7265625" customWidth="1"/>
    <col min="13" max="13" width="66" customWidth="1"/>
  </cols>
  <sheetData>
    <row r="1" spans="1:13" ht="15.75" customHeight="1">
      <c r="A1" s="108" t="s">
        <v>146</v>
      </c>
      <c r="B1" s="33" t="s">
        <v>147</v>
      </c>
      <c r="C1" s="32" t="s">
        <v>148</v>
      </c>
      <c r="D1" s="32" t="s">
        <v>149</v>
      </c>
      <c r="E1" s="32" t="s">
        <v>150</v>
      </c>
      <c r="F1" s="32" t="s">
        <v>151</v>
      </c>
      <c r="G1" s="32" t="s">
        <v>152</v>
      </c>
      <c r="H1" s="32" t="s">
        <v>153</v>
      </c>
      <c r="I1" s="32" t="s">
        <v>154</v>
      </c>
      <c r="J1" s="32" t="s">
        <v>155</v>
      </c>
      <c r="K1" s="32" t="s">
        <v>156</v>
      </c>
      <c r="L1" s="32" t="s">
        <v>157</v>
      </c>
      <c r="M1" s="34" t="s">
        <v>158</v>
      </c>
    </row>
    <row r="2" spans="1:13" ht="15.75" customHeight="1">
      <c r="A2" s="109"/>
      <c r="B2" s="10" t="s">
        <v>159</v>
      </c>
      <c r="C2" s="37">
        <f>COUNTIF(C3:C10556, "AC")</f>
        <v>0</v>
      </c>
      <c r="D2" s="37" t="e">
        <f ca="1">ROUND(SUMPRODUCT(D3:D10556,INT(EQ(C3:C10556, "AC")))/MAX(1, C2),1)</f>
        <v>#NAME?</v>
      </c>
      <c r="E2" s="37" t="e">
        <f ca="1">ROUND(SUMPRODUCT(E3:E10578,INT(EQ(C3:C10578, "AC")))/MAX(1, C2),0)</f>
        <v>#NAME?</v>
      </c>
      <c r="F2" s="37" t="e">
        <f ca="1">ROUND(SUMPRODUCT(F3:F10581,INT(EQ(C3:C10581, "AC")))/MAX(1, C2),0)</f>
        <v>#NAME?</v>
      </c>
      <c r="G2" s="37" t="e">
        <f ca="1">ROUND(SUMPRODUCT(G3:G10581,INT(EQ(C3:C10581, "AC")))/MAX(1, C2),0)</f>
        <v>#NAME?</v>
      </c>
      <c r="H2" s="37" t="e">
        <f ca="1">ROUND(SUMPRODUCT(H3:H10581,INT(EQ(C3:C10581, "AC")))/MAX(1, C2),0)</f>
        <v>#NAME?</v>
      </c>
      <c r="I2" s="37" t="e">
        <f ca="1">ROUND(SUMPRODUCT(I3:I10553,INT(EQ(C3:C10553, "AC")))/MAX(1, C2),0)</f>
        <v>#NAME?</v>
      </c>
      <c r="J2" s="37" t="e">
        <f ca="1">ROUND(SUMPRODUCT(J3:J10551,INT(EQ(C3:C10551, "AC")))/MAX(1, C2),1)</f>
        <v>#NAME?</v>
      </c>
      <c r="K2" s="37" t="e">
        <f ca="1">SUMPRODUCT(EQ(K3:K10556, "YES"),INT(EQ(C3:C10581, "AC")))</f>
        <v>#NAME?</v>
      </c>
      <c r="L2" s="38">
        <f ca="1">IFERROR(__xludf.DUMMYFUNCTION("COUNTA(FILTER(C3:C10048, NOT(REGEXMATCH(C3:C10048, ""AC""))))"),0)</f>
        <v>0</v>
      </c>
      <c r="M2" s="39">
        <f ca="1">IFERROR(__xludf.DUMMYFUNCTION("COUNTA(FILTER(C3:C10042, NOT(REGEXMATCH(C3:C10042, ""AC""))))"),0)</f>
        <v>0</v>
      </c>
    </row>
    <row r="3" spans="1:13" ht="15.75" customHeight="1">
      <c r="C3" s="67"/>
      <c r="D3" s="67"/>
      <c r="E3" s="67"/>
      <c r="F3" s="67"/>
      <c r="G3" s="67"/>
      <c r="H3" s="67"/>
      <c r="I3" s="36">
        <f t="shared" ref="I3:I168" si="0">SUM(E3:H3)</f>
        <v>0</v>
      </c>
      <c r="J3" s="36"/>
      <c r="K3" s="36"/>
      <c r="L3" s="67"/>
      <c r="M3" s="194" t="str">
        <f>HYPERLINK("https://www.youtube.com/watch?v=xVMe4JSEQo0&amp;index=14&amp;list=PLPt2dINI2MIb4OXlJ_EEwIDV9WVUpRQ5K","Graph Theory - SCC (2 vid)")</f>
        <v>Graph Theory - SCC (2 vid)</v>
      </c>
    </row>
    <row r="4" spans="1:13" ht="15.75" customHeight="1">
      <c r="A4" s="179" t="s">
        <v>1105</v>
      </c>
      <c r="B4" s="233" t="str">
        <f>HYPERLINK("http://www.spoj.com/problems/BOTTOM/","SPOJ BOTTOM")</f>
        <v>SPOJ BOTTOM</v>
      </c>
      <c r="C4" s="67"/>
      <c r="D4" s="67"/>
      <c r="E4" s="67"/>
      <c r="F4" s="67"/>
      <c r="G4" s="67"/>
      <c r="H4" s="67"/>
      <c r="I4" s="36">
        <f t="shared" si="0"/>
        <v>0</v>
      </c>
      <c r="J4" s="36"/>
      <c r="K4" s="36"/>
      <c r="L4" s="10"/>
      <c r="M4" s="130" t="str">
        <f>HYPERLINK("https://github.com/BRAINOOOO/CompetitiveProgramming/blob/master/Spoj/SPOJ%20BOTTOM.Cpp","Sol")</f>
        <v>Sol</v>
      </c>
    </row>
    <row r="5" spans="1:13" ht="15.75" customHeight="1">
      <c r="A5" s="229" t="s">
        <v>1106</v>
      </c>
      <c r="B5" s="255" t="str">
        <f>HYPERLINK("https://uva.onlinejudge.org/index.php?option=onlinejudge&amp;page=show_problem&amp;problem=1672","UVA 10731")</f>
        <v>UVA 10731</v>
      </c>
      <c r="C5" s="67"/>
      <c r="D5" s="67"/>
      <c r="E5" s="67"/>
      <c r="F5" s="67"/>
      <c r="G5" s="67"/>
      <c r="H5" s="67"/>
      <c r="I5" s="36">
        <f t="shared" si="0"/>
        <v>0</v>
      </c>
      <c r="J5" s="10"/>
      <c r="K5" s="10"/>
      <c r="L5" s="10"/>
      <c r="M5" s="130" t="str">
        <f>HYPERLINK("https://github.com/goar5670/CompetitiveProgramming/blob/master/UVA%2010731.cpp","Sol")</f>
        <v>Sol</v>
      </c>
    </row>
    <row r="6" spans="1:13" ht="15.75" customHeight="1">
      <c r="A6" s="229"/>
      <c r="B6" s="229" t="s">
        <v>1107</v>
      </c>
      <c r="C6" s="67"/>
      <c r="D6" s="67"/>
      <c r="E6" s="67"/>
      <c r="F6" s="67"/>
      <c r="G6" s="67"/>
      <c r="H6" s="67"/>
      <c r="I6" s="36">
        <f t="shared" si="0"/>
        <v>0</v>
      </c>
      <c r="J6" s="10"/>
      <c r="K6" s="10"/>
      <c r="L6" s="10"/>
    </row>
    <row r="7" spans="1:13" ht="15.75" customHeight="1">
      <c r="A7" s="229"/>
      <c r="B7" s="256" t="str">
        <f>HYPERLINK("http://codeforces.com/contest/467/problem/D","CF467-D2-D")</f>
        <v>CF467-D2-D</v>
      </c>
      <c r="C7" s="67"/>
      <c r="D7" s="67"/>
      <c r="E7" s="67"/>
      <c r="F7" s="67"/>
      <c r="G7" s="67"/>
      <c r="H7" s="67"/>
      <c r="I7" s="36">
        <f t="shared" si="0"/>
        <v>0</v>
      </c>
      <c r="J7" s="10"/>
      <c r="K7" s="10"/>
      <c r="L7" s="10"/>
    </row>
    <row r="8" spans="1:13" ht="15.75" customHeight="1">
      <c r="A8" s="205" t="s">
        <v>1108</v>
      </c>
      <c r="B8" s="257" t="str">
        <f>HYPERLINK("http://codeforces.com/contest/676/problem/D","CF676-D2-D")</f>
        <v>CF676-D2-D</v>
      </c>
      <c r="C8" s="67"/>
      <c r="D8" s="67"/>
      <c r="E8" s="67"/>
      <c r="F8" s="67"/>
      <c r="G8" s="67"/>
      <c r="H8" s="67"/>
      <c r="I8" s="36">
        <f t="shared" si="0"/>
        <v>0</v>
      </c>
      <c r="J8" s="10"/>
      <c r="K8" s="10"/>
      <c r="L8" s="10"/>
    </row>
    <row r="9" spans="1:13" ht="15.75" customHeight="1">
      <c r="A9" s="205" t="s">
        <v>1109</v>
      </c>
      <c r="B9" s="258" t="str">
        <f>HYPERLINK("http://codeforces.com/contest/418/problem/B","CF418-D1-B")</f>
        <v>CF418-D1-B</v>
      </c>
      <c r="C9" s="67"/>
      <c r="D9" s="67"/>
      <c r="E9" s="67"/>
      <c r="F9" s="67"/>
      <c r="G9" s="67"/>
      <c r="H9" s="67"/>
      <c r="I9" s="36">
        <f t="shared" si="0"/>
        <v>0</v>
      </c>
      <c r="J9" s="36"/>
      <c r="K9" s="36"/>
      <c r="L9" s="10"/>
    </row>
    <row r="10" spans="1:13" ht="15.75" customHeight="1">
      <c r="A10" s="205" t="s">
        <v>1110</v>
      </c>
      <c r="B10" s="258" t="str">
        <f>HYPERLINK("https://uva.onlinejudge.org/index.php?option=onlinejudge&amp;page=show_problem&amp;problem=1421","UVA 10480")</f>
        <v>UVA 10480</v>
      </c>
      <c r="C10" s="67"/>
      <c r="D10" s="67"/>
      <c r="E10" s="67"/>
      <c r="F10" s="67"/>
      <c r="G10" s="67"/>
      <c r="H10" s="67"/>
      <c r="I10" s="36">
        <f t="shared" si="0"/>
        <v>0</v>
      </c>
      <c r="J10" s="36"/>
      <c r="K10" s="36"/>
      <c r="L10" s="10"/>
      <c r="M10" s="130" t="str">
        <f>HYPERLINK("https://github.com/abdullaAshraf/Problem-Solving/blob/master/UVA/10480.cpp","Sol")</f>
        <v>Sol</v>
      </c>
    </row>
    <row r="11" spans="1:13" ht="15.75" customHeight="1">
      <c r="A11" s="79"/>
      <c r="B11" s="205" t="s">
        <v>1111</v>
      </c>
      <c r="C11" s="67"/>
      <c r="D11" s="67"/>
      <c r="E11" s="67"/>
      <c r="F11" s="67"/>
      <c r="G11" s="67"/>
      <c r="H11" s="67"/>
      <c r="I11" s="36">
        <f t="shared" si="0"/>
        <v>0</v>
      </c>
      <c r="J11" s="36"/>
      <c r="K11" s="36"/>
      <c r="L11" s="10"/>
    </row>
    <row r="12" spans="1:13" ht="15.75" customHeight="1">
      <c r="A12" s="79" t="s">
        <v>544</v>
      </c>
      <c r="B12" s="259" t="str">
        <f>HYPERLINK("https://uva.onlinejudge.org/index.php?option=onlinejudge&amp;page=show_problem&amp;problem=4330","UVA 1555")</f>
        <v>UVA 1555</v>
      </c>
      <c r="C12" s="67"/>
      <c r="D12" s="67"/>
      <c r="E12" s="67"/>
      <c r="F12" s="67"/>
      <c r="G12" s="67"/>
      <c r="H12" s="67"/>
      <c r="I12" s="36">
        <f t="shared" si="0"/>
        <v>0</v>
      </c>
      <c r="J12" s="10"/>
      <c r="K12" s="10"/>
      <c r="L12" s="10"/>
      <c r="M12" s="130" t="str">
        <f>HYPERLINK("https://github.com/achrafmam2/CompetitiveProgramming/blob/master/UVA/1555.cc","Sol")</f>
        <v>Sol</v>
      </c>
    </row>
    <row r="13" spans="1:13" ht="15.75" customHeight="1">
      <c r="A13" s="79"/>
      <c r="B13" s="260" t="str">
        <f>HYPERLINK("http://codeforces.com/gym/101589/problem/F","CF101589-GYM-F")</f>
        <v>CF101589-GYM-F</v>
      </c>
      <c r="C13" s="67"/>
      <c r="D13" s="67"/>
      <c r="E13" s="67"/>
      <c r="F13" s="67"/>
      <c r="G13" s="67"/>
      <c r="H13" s="67"/>
      <c r="I13" s="36">
        <f t="shared" si="0"/>
        <v>0</v>
      </c>
      <c r="J13" s="10"/>
      <c r="K13" s="10"/>
      <c r="L13" s="10"/>
      <c r="M13" s="130" t="str">
        <f>HYPERLINK("https://github.com/SpeedOfMagic/CompetitiveProgramming/blob/master/CodeforcesGym/CF101589-GYM-F.cpp","Sol")</f>
        <v>Sol</v>
      </c>
    </row>
    <row r="14" spans="1:13" ht="15.75" customHeight="1">
      <c r="A14" s="79"/>
      <c r="B14" s="260" t="str">
        <f>HYPERLINK("http://codeforces.com/problemset/problem/1016/D","CF1016-D12-D")</f>
        <v>CF1016-D12-D</v>
      </c>
      <c r="C14" s="67"/>
      <c r="D14" s="67"/>
      <c r="E14" s="67"/>
      <c r="F14" s="67"/>
      <c r="G14" s="67"/>
      <c r="H14" s="67"/>
      <c r="I14" s="36">
        <f t="shared" si="0"/>
        <v>0</v>
      </c>
      <c r="J14" s="10"/>
      <c r="K14" s="10"/>
      <c r="L14" s="10"/>
    </row>
    <row r="15" spans="1:13" ht="15.75" customHeight="1">
      <c r="A15" s="79"/>
      <c r="B15" s="260" t="str">
        <f>HYPERLINK("http://codeforces.com/contest/26/problem/D","CF26-D12-D")</f>
        <v>CF26-D12-D</v>
      </c>
      <c r="C15" s="67"/>
      <c r="D15" s="67"/>
      <c r="E15" s="67"/>
      <c r="F15" s="67"/>
      <c r="G15" s="67"/>
      <c r="H15" s="67"/>
      <c r="I15" s="36">
        <f t="shared" si="0"/>
        <v>0</v>
      </c>
      <c r="J15" s="10"/>
      <c r="K15" s="10"/>
      <c r="L15" s="10"/>
      <c r="M15" s="130" t="str">
        <f>HYPERLINK("https://github.com/mostafa-saad/MyCompetitiveProgramming/blob/master/Codeforces/CF26-D12-D.txt","Sol - must read")</f>
        <v>Sol - must read</v>
      </c>
    </row>
    <row r="16" spans="1:13" ht="15.75" customHeight="1">
      <c r="A16" s="79"/>
      <c r="B16" s="260" t="str">
        <f>HYPERLINK("http://codeforces.com/contest/1012/problem/B","CF1012-D1-B")</f>
        <v>CF1012-D1-B</v>
      </c>
      <c r="C16" s="67"/>
      <c r="D16" s="67"/>
      <c r="E16" s="67"/>
      <c r="F16" s="67"/>
      <c r="G16" s="67"/>
      <c r="H16" s="67"/>
      <c r="I16" s="36">
        <f t="shared" si="0"/>
        <v>0</v>
      </c>
      <c r="J16" s="10"/>
      <c r="K16" s="10"/>
      <c r="L16" s="10"/>
    </row>
    <row r="17" spans="1:13" ht="15.75" customHeight="1">
      <c r="A17" s="79"/>
      <c r="B17" s="260" t="str">
        <f>HYPERLINK("http://codeforces.com/contest/1010/problem/C","CF1010-D1-C")</f>
        <v>CF1010-D1-C</v>
      </c>
      <c r="C17" s="67"/>
      <c r="D17" s="67"/>
      <c r="E17" s="67"/>
      <c r="F17" s="67"/>
      <c r="G17" s="67"/>
      <c r="H17" s="67"/>
      <c r="I17" s="36">
        <f t="shared" si="0"/>
        <v>0</v>
      </c>
      <c r="J17" s="10"/>
      <c r="K17" s="10"/>
      <c r="L17" s="10"/>
    </row>
    <row r="18" spans="1:13" ht="15.75" customHeight="1">
      <c r="A18" s="79"/>
      <c r="B18" s="260" t="str">
        <f>HYPERLINK("http://codeforces.com/contest/633/problem/D","CF633-D12-D")</f>
        <v>CF633-D12-D</v>
      </c>
      <c r="C18" s="67"/>
      <c r="D18" s="67"/>
      <c r="E18" s="67"/>
      <c r="F18" s="67"/>
      <c r="G18" s="67"/>
      <c r="H18" s="67"/>
      <c r="I18" s="36">
        <f t="shared" si="0"/>
        <v>0</v>
      </c>
      <c r="J18" s="10"/>
      <c r="K18" s="10"/>
      <c r="L18" s="10"/>
    </row>
    <row r="19" spans="1:13" ht="15.75" customHeight="1">
      <c r="A19" s="79"/>
      <c r="B19" s="260" t="str">
        <f>HYPERLINK("https://www.hackerrank.com/challenges/house-location","HACKR house-location")</f>
        <v>HACKR house-location</v>
      </c>
      <c r="C19" s="67"/>
      <c r="D19" s="67"/>
      <c r="E19" s="67"/>
      <c r="F19" s="67"/>
      <c r="G19" s="67"/>
      <c r="H19" s="67"/>
      <c r="I19" s="36">
        <f t="shared" si="0"/>
        <v>0</v>
      </c>
      <c r="J19" s="10"/>
      <c r="K19" s="10"/>
      <c r="L19" s="10"/>
      <c r="M19" s="130" t="str">
        <f>HYPERLINK("https://github.com/arvindr9/CompetitiveProgramming/blob/master/Hackerrank/HACKR%20house-location.cpp","Sol")</f>
        <v>Sol</v>
      </c>
    </row>
    <row r="20" spans="1:13" ht="15.75" customHeight="1">
      <c r="A20" s="79"/>
      <c r="B20" s="260" t="str">
        <f>HYPERLINK("http://codeforces.com/contest/621/problem/D","CF621-D2-D")</f>
        <v>CF621-D2-D</v>
      </c>
      <c r="C20" s="67"/>
      <c r="D20" s="67"/>
      <c r="E20" s="67"/>
      <c r="F20" s="67"/>
      <c r="G20" s="67"/>
      <c r="H20" s="67"/>
      <c r="I20" s="36">
        <f t="shared" si="0"/>
        <v>0</v>
      </c>
      <c r="J20" s="10"/>
      <c r="K20" s="10"/>
      <c r="L20" s="10"/>
      <c r="M20" s="130" t="str">
        <f>HYPERLINK("https://github.com/MedoN11/CompetitiveProgramming/blob/master/CodeForces/CF621-D2-D-Complex.cpp","Sol")</f>
        <v>Sol</v>
      </c>
    </row>
    <row r="21" spans="1:13" ht="15.75" customHeight="1">
      <c r="A21" s="79"/>
      <c r="B21" s="260" t="str">
        <f>HYPERLINK("https://codeforces.com/gym/101992/problem/D","CF101992-GYM-D")</f>
        <v>CF101992-GYM-D</v>
      </c>
      <c r="C21" s="67"/>
      <c r="D21" s="67"/>
      <c r="E21" s="67"/>
      <c r="F21" s="67"/>
      <c r="G21" s="67"/>
      <c r="H21" s="67"/>
      <c r="I21" s="36">
        <f t="shared" si="0"/>
        <v>0</v>
      </c>
      <c r="J21" s="10"/>
      <c r="K21" s="10"/>
      <c r="L21" s="10"/>
      <c r="M21" s="130" t="str">
        <f>HYPERLINK("https://ideone.com/bDMQGD","Sol")</f>
        <v>Sol</v>
      </c>
    </row>
    <row r="22" spans="1:13" ht="15.75" customHeight="1">
      <c r="A22" s="79"/>
      <c r="B22" s="79" t="s">
        <v>1112</v>
      </c>
      <c r="C22" s="67"/>
      <c r="D22" s="67"/>
      <c r="E22" s="67"/>
      <c r="F22" s="67"/>
      <c r="G22" s="67"/>
      <c r="H22" s="67"/>
      <c r="I22" s="36">
        <f t="shared" si="0"/>
        <v>0</v>
      </c>
      <c r="J22" s="10"/>
      <c r="K22" s="10"/>
      <c r="L22" s="10"/>
      <c r="M22" s="130" t="str">
        <f>HYPERLINK("https://github.com/mostafa-saad/MyCompetitiveProgramming/blob/master/TopCoder/SRM608-D2-1000.txt","Sol")</f>
        <v>Sol</v>
      </c>
    </row>
    <row r="23" spans="1:13" ht="15.75" customHeight="1">
      <c r="A23" s="46"/>
      <c r="C23" s="67"/>
      <c r="D23" s="67"/>
      <c r="E23" s="67"/>
      <c r="F23" s="67"/>
      <c r="G23" s="67"/>
      <c r="H23" s="67"/>
      <c r="I23" s="36">
        <f t="shared" si="0"/>
        <v>0</v>
      </c>
      <c r="J23" s="36"/>
      <c r="K23" s="36"/>
      <c r="L23" s="10"/>
    </row>
    <row r="24" spans="1:13" ht="15.75" customHeight="1">
      <c r="A24" s="46" t="s">
        <v>1113</v>
      </c>
      <c r="B24" s="261" t="str">
        <f>HYPERLINK("http://codeforces.com/contest/681/problem/D","CF681-D2-D")</f>
        <v>CF681-D2-D</v>
      </c>
      <c r="C24" s="67"/>
      <c r="D24" s="67"/>
      <c r="E24" s="67"/>
      <c r="F24" s="67"/>
      <c r="G24" s="67"/>
      <c r="H24" s="67"/>
      <c r="I24" s="36">
        <f t="shared" si="0"/>
        <v>0</v>
      </c>
      <c r="J24" s="36"/>
      <c r="K24" s="36"/>
      <c r="L24" s="10"/>
    </row>
    <row r="25" spans="1:13" ht="15.75" customHeight="1">
      <c r="A25" s="46" t="s">
        <v>1114</v>
      </c>
      <c r="B25" s="261" t="str">
        <f>HYPERLINK("http://codeforces.com/contest/447/problem/D","CF447-D2-D")</f>
        <v>CF447-D2-D</v>
      </c>
      <c r="C25" s="67"/>
      <c r="D25" s="67"/>
      <c r="E25" s="67"/>
      <c r="F25" s="67"/>
      <c r="G25" s="67"/>
      <c r="H25" s="67"/>
      <c r="I25" s="36">
        <f t="shared" si="0"/>
        <v>0</v>
      </c>
      <c r="J25" s="36"/>
      <c r="K25" s="36"/>
      <c r="M25" s="12" t="s">
        <v>1115</v>
      </c>
    </row>
    <row r="26" spans="1:13" ht="15.75" customHeight="1">
      <c r="A26" s="46" t="s">
        <v>1116</v>
      </c>
      <c r="B26" s="261" t="str">
        <f>HYPERLINK("http://codeforces.com/contest/548/problem/D","CF548-D2-D")</f>
        <v>CF548-D2-D</v>
      </c>
      <c r="C26" s="67"/>
      <c r="D26" s="67"/>
      <c r="E26" s="67"/>
      <c r="F26" s="67"/>
      <c r="G26" s="67"/>
      <c r="H26" s="67"/>
      <c r="I26" s="36">
        <f t="shared" si="0"/>
        <v>0</v>
      </c>
      <c r="J26" s="36"/>
      <c r="K26" s="36"/>
    </row>
    <row r="27" spans="1:13" ht="15.75" customHeight="1">
      <c r="A27" s="46" t="s">
        <v>1117</v>
      </c>
      <c r="B27" s="261" t="str">
        <f>HYPERLINK("http://codeforces.com/contest/435/problem/D","CF435-D2-D")</f>
        <v>CF435-D2-D</v>
      </c>
      <c r="C27" s="67"/>
      <c r="D27" s="67"/>
      <c r="E27" s="67"/>
      <c r="F27" s="67"/>
      <c r="G27" s="67"/>
      <c r="H27" s="67"/>
      <c r="I27" s="36">
        <f t="shared" si="0"/>
        <v>0</v>
      </c>
      <c r="J27" s="36"/>
      <c r="K27" s="36"/>
    </row>
    <row r="28" spans="1:13" ht="15.75" customHeight="1">
      <c r="A28" s="46" t="s">
        <v>1118</v>
      </c>
      <c r="B28" s="261" t="str">
        <f>HYPERLINK("http://codeforces.com/contest/401/problem/D","CF401-D2-D")</f>
        <v>CF401-D2-D</v>
      </c>
      <c r="C28" s="67"/>
      <c r="D28" s="67"/>
      <c r="E28" s="67"/>
      <c r="F28" s="67"/>
      <c r="G28" s="67"/>
      <c r="H28" s="67"/>
      <c r="I28" s="36">
        <f t="shared" si="0"/>
        <v>0</v>
      </c>
      <c r="J28" s="36"/>
      <c r="K28" s="36"/>
    </row>
    <row r="29" spans="1:13" ht="15.75" customHeight="1">
      <c r="A29" s="46" t="s">
        <v>1119</v>
      </c>
      <c r="B29" s="261" t="str">
        <f>HYPERLINK("http://codeforces.com/contest/707/problem/D","CF707-D2-D")</f>
        <v>CF707-D2-D</v>
      </c>
      <c r="C29" s="67"/>
      <c r="D29" s="67"/>
      <c r="E29" s="67"/>
      <c r="F29" s="67"/>
      <c r="G29" s="67"/>
      <c r="H29" s="67"/>
      <c r="I29" s="36">
        <f t="shared" si="0"/>
        <v>0</v>
      </c>
      <c r="J29" s="36"/>
      <c r="K29" s="36"/>
      <c r="M29" s="130" t="str">
        <f>HYPERLINK("https://github.com/AbdelrahmanRamadan/competitive-programming/blob/master/Codeforces/CF707-D2-D.cpp","Sol")</f>
        <v>Sol</v>
      </c>
    </row>
    <row r="30" spans="1:13" ht="15.75" customHeight="1">
      <c r="A30" s="56" t="s">
        <v>1120</v>
      </c>
      <c r="B30" s="63" t="str">
        <f>HYPERLINK("http://codeforces.com/contest/550/problem/D","CF550-D2-D")</f>
        <v>CF550-D2-D</v>
      </c>
      <c r="C30" s="67"/>
      <c r="D30" s="67"/>
      <c r="E30" s="67"/>
      <c r="F30" s="67"/>
      <c r="G30" s="67"/>
      <c r="H30" s="67"/>
      <c r="I30" s="36">
        <f t="shared" si="0"/>
        <v>0</v>
      </c>
      <c r="J30" s="10"/>
      <c r="K30" s="10"/>
      <c r="M30" s="10"/>
    </row>
    <row r="31" spans="1:13" ht="15.75" customHeight="1">
      <c r="A31" s="56"/>
      <c r="B31" s="63" t="str">
        <f>HYPERLINK("https://codeforces.com/contest/1059/problem/D","CF1059-D2-D")</f>
        <v>CF1059-D2-D</v>
      </c>
      <c r="C31" s="67"/>
      <c r="D31" s="67"/>
      <c r="E31" s="67"/>
      <c r="F31" s="67"/>
      <c r="G31" s="67"/>
      <c r="H31" s="67"/>
      <c r="I31" s="36">
        <f t="shared" si="0"/>
        <v>0</v>
      </c>
      <c r="J31" s="10"/>
      <c r="K31" s="10"/>
      <c r="M31" s="10"/>
    </row>
    <row r="32" spans="1:13" ht="15.75" customHeight="1">
      <c r="A32" s="150" t="s">
        <v>1121</v>
      </c>
      <c r="B32" s="211" t="str">
        <f>HYPERLINK("http://codeforces.com/contest/255/problem/C","CF255-D2-C")</f>
        <v>CF255-D2-C</v>
      </c>
      <c r="C32" s="67"/>
      <c r="D32" s="67"/>
      <c r="E32" s="67"/>
      <c r="F32" s="67"/>
      <c r="G32" s="67"/>
      <c r="H32" s="67"/>
      <c r="I32" s="36">
        <f t="shared" si="0"/>
        <v>0</v>
      </c>
      <c r="J32" s="10"/>
      <c r="K32" s="10"/>
      <c r="M32" s="10"/>
    </row>
    <row r="33" spans="1:13" ht="15.75" customHeight="1">
      <c r="A33" s="150" t="s">
        <v>1122</v>
      </c>
      <c r="B33" s="211" t="str">
        <f>HYPERLINK("http://codeforces.com/contest/59/problem/C","CF59-D2-C")</f>
        <v>CF59-D2-C</v>
      </c>
      <c r="C33" s="67"/>
      <c r="D33" s="67"/>
      <c r="E33" s="67"/>
      <c r="F33" s="67"/>
      <c r="G33" s="67"/>
      <c r="H33" s="67"/>
      <c r="I33" s="36">
        <f t="shared" si="0"/>
        <v>0</v>
      </c>
      <c r="J33" s="10"/>
      <c r="K33" s="10"/>
      <c r="M33" s="10"/>
    </row>
    <row r="34" spans="1:13" ht="15.75" customHeight="1">
      <c r="A34" s="150" t="s">
        <v>1123</v>
      </c>
      <c r="B34" s="211" t="str">
        <f>HYPERLINK("http://codeforces.com/contest/495/problem/C","CF495-D2-C")</f>
        <v>CF495-D2-C</v>
      </c>
      <c r="C34" s="67"/>
      <c r="D34" s="67"/>
      <c r="E34" s="67"/>
      <c r="F34" s="67"/>
      <c r="G34" s="67"/>
      <c r="H34" s="67"/>
      <c r="I34" s="36">
        <f t="shared" si="0"/>
        <v>0</v>
      </c>
      <c r="J34" s="10"/>
      <c r="K34" s="10"/>
      <c r="M34" s="10"/>
    </row>
    <row r="35" spans="1:13" ht="15.75" customHeight="1">
      <c r="A35" s="46"/>
      <c r="C35" s="67"/>
      <c r="D35" s="67"/>
      <c r="E35" s="67"/>
      <c r="F35" s="67"/>
      <c r="G35" s="67"/>
      <c r="H35" s="67"/>
      <c r="I35" s="36">
        <f t="shared" si="0"/>
        <v>0</v>
      </c>
      <c r="J35" s="36"/>
      <c r="K35" s="36"/>
      <c r="M35" s="10"/>
    </row>
    <row r="36" spans="1:13" ht="15.75" customHeight="1">
      <c r="A36" s="234" t="s">
        <v>1124</v>
      </c>
      <c r="B36" s="262" t="str">
        <f>HYPERLINK("http://acm.zju.edu.cn/onlinejudge/showProblem.do?problemCode=2587","ZOJ 2587")</f>
        <v>ZOJ 2587</v>
      </c>
      <c r="C36" s="67"/>
      <c r="D36" s="67"/>
      <c r="E36" s="67"/>
      <c r="F36" s="67"/>
      <c r="G36" s="67"/>
      <c r="H36" s="67"/>
      <c r="I36" s="36">
        <f t="shared" si="0"/>
        <v>0</v>
      </c>
      <c r="J36" s="36"/>
      <c r="K36" s="36"/>
      <c r="M36" s="10"/>
    </row>
    <row r="37" spans="1:13" ht="15.75" customHeight="1">
      <c r="A37" s="234" t="s">
        <v>1125</v>
      </c>
      <c r="B37" s="263" t="str">
        <f>HYPERLINK("http://www.spoj.com/problems/DCEPC12E","SPOJ DCEPC12E")</f>
        <v>SPOJ DCEPC12E</v>
      </c>
      <c r="C37" s="67"/>
      <c r="D37" s="67"/>
      <c r="E37" s="67"/>
      <c r="F37" s="67"/>
      <c r="G37" s="67"/>
      <c r="H37" s="67"/>
      <c r="I37" s="36">
        <f t="shared" si="0"/>
        <v>0</v>
      </c>
      <c r="J37" s="36"/>
      <c r="K37" s="36"/>
      <c r="M37" s="10"/>
    </row>
    <row r="38" spans="1:13" ht="15.75" customHeight="1">
      <c r="A38" s="234" t="s">
        <v>1126</v>
      </c>
      <c r="B38" s="258" t="str">
        <f>HYPERLINK("https://uva.onlinejudge.org/index.php?option=onlinejudge&amp;page=show_problem&amp;problem=563","UVA 622")</f>
        <v>UVA 622</v>
      </c>
      <c r="C38" s="67"/>
      <c r="D38" s="67"/>
      <c r="E38" s="67"/>
      <c r="F38" s="67"/>
      <c r="G38" s="67"/>
      <c r="H38" s="67"/>
      <c r="I38" s="36">
        <f t="shared" si="0"/>
        <v>0</v>
      </c>
      <c r="J38" s="36"/>
      <c r="K38" s="36"/>
      <c r="M38" s="130" t="str">
        <f>HYPERLINK("https://github.com/mostafa-saad/MyCompetitiveProgramming/blob/master/UVA/622.cpp","Sol")</f>
        <v>Sol</v>
      </c>
    </row>
    <row r="39" spans="1:13" ht="15.75" customHeight="1">
      <c r="A39" s="234" t="s">
        <v>1127</v>
      </c>
      <c r="B39" s="258" t="str">
        <f>HYPERLINK("https://uva.onlinejudge.org/index.php?option=com_onlinejudge&amp;Itemid=8&amp;page=show_problem&amp;problem=1052","UVA 10111")</f>
        <v>UVA 10111</v>
      </c>
      <c r="C39" s="67"/>
      <c r="D39" s="67"/>
      <c r="E39" s="67"/>
      <c r="F39" s="67"/>
      <c r="G39" s="67"/>
      <c r="H39" s="67"/>
      <c r="I39" s="36">
        <f t="shared" si="0"/>
        <v>0</v>
      </c>
      <c r="J39" s="36"/>
      <c r="K39" s="36"/>
      <c r="M39" s="130" t="str">
        <f>HYPERLINK("https://github.com/mostafa-saad/MyCompetitiveProgramming/blob/master/UVA/UVA_10111.txt","Sol")</f>
        <v>Sol</v>
      </c>
    </row>
    <row r="40" spans="1:13" ht="12.5">
      <c r="A40" s="234" t="s">
        <v>1128</v>
      </c>
      <c r="B40" s="264" t="str">
        <f>HYPERLINK("http://poj.org/problem?id=2151","PKU 2151")</f>
        <v>PKU 2151</v>
      </c>
      <c r="C40" s="67"/>
      <c r="D40" s="67"/>
      <c r="E40" s="67"/>
      <c r="F40" s="67"/>
      <c r="G40" s="67"/>
      <c r="H40" s="67"/>
      <c r="I40" s="36">
        <f t="shared" si="0"/>
        <v>0</v>
      </c>
      <c r="J40" s="10"/>
      <c r="K40" s="10"/>
      <c r="M40" s="130" t="str">
        <f>HYPERLINK("https://github.com/mostafa-saad/MyCompetitiveProgramming/blob/master/PKU/PKU_2151.txt","Sol")</f>
        <v>Sol</v>
      </c>
    </row>
    <row r="41" spans="1:13" ht="12.5">
      <c r="A41" s="234" t="s">
        <v>1129</v>
      </c>
      <c r="B41" s="263" t="str">
        <f>HYPERLINK("https://uva.onlinejudge.org/index.php?option=com_onlinejudge&amp;Itemid=8&amp;page=show_problem&amp;problem=3319","UVA 12167")</f>
        <v>UVA 12167</v>
      </c>
      <c r="C41" s="67"/>
      <c r="D41" s="67"/>
      <c r="E41" s="67"/>
      <c r="F41" s="67"/>
      <c r="G41" s="67"/>
      <c r="H41" s="67"/>
      <c r="I41" s="36">
        <f t="shared" si="0"/>
        <v>0</v>
      </c>
      <c r="J41" s="36"/>
      <c r="K41" s="36"/>
      <c r="M41" s="130" t="str">
        <f>HYPERLINK("https://github.com/abdullaAshraf/Problem-Solving/blob/master/UVA/12167.cpp","Sol")</f>
        <v>Sol</v>
      </c>
    </row>
    <row r="42" spans="1:13" ht="12.5">
      <c r="A42" s="234" t="s">
        <v>1130</v>
      </c>
      <c r="B42" s="258" t="str">
        <f>HYPERLINK("https://uva.onlinejudge.org/index.php?option=onlinejudge&amp;page=show_problem&amp;problem=488","UVA 547")</f>
        <v>UVA 547</v>
      </c>
      <c r="C42" s="67"/>
      <c r="D42" s="67"/>
      <c r="E42" s="67"/>
      <c r="F42" s="67"/>
      <c r="G42" s="67"/>
      <c r="H42" s="67"/>
      <c r="I42" s="36">
        <f t="shared" si="0"/>
        <v>0</v>
      </c>
      <c r="J42" s="36"/>
      <c r="K42" s="36"/>
    </row>
    <row r="43" spans="1:13" ht="12.5">
      <c r="A43" s="234" t="s">
        <v>1131</v>
      </c>
      <c r="B43" s="264" t="str">
        <f>HYPERLINK("https://uva.onlinejudge.org/index.php?option=onlinejudge&amp;page=show_problem&amp;problem=2499","UVA 11504")</f>
        <v>UVA 11504</v>
      </c>
      <c r="C43" s="67"/>
      <c r="D43" s="67"/>
      <c r="E43" s="67"/>
      <c r="F43" s="67"/>
      <c r="G43" s="67"/>
      <c r="H43" s="67"/>
      <c r="I43" s="36">
        <f t="shared" si="0"/>
        <v>0</v>
      </c>
      <c r="J43" s="10"/>
      <c r="K43" s="10"/>
      <c r="M43" s="130" t="str">
        <f>HYPERLINK("https://github.com/mostafa-saad/MyCompetitiveProgramming/blob/master/UVA/UVA_11504.txt","Sol")</f>
        <v>Sol</v>
      </c>
    </row>
    <row r="44" spans="1:13" ht="12.5">
      <c r="A44" s="234"/>
      <c r="B44" s="234" t="s">
        <v>1132</v>
      </c>
      <c r="C44" s="67"/>
      <c r="D44" s="67"/>
      <c r="E44" s="67"/>
      <c r="F44" s="67"/>
      <c r="G44" s="67"/>
      <c r="H44" s="67"/>
      <c r="I44" s="36">
        <f t="shared" si="0"/>
        <v>0</v>
      </c>
      <c r="J44" s="10"/>
      <c r="K44" s="10"/>
    </row>
    <row r="45" spans="1:13" ht="12.5">
      <c r="A45" s="234" t="s">
        <v>1133</v>
      </c>
      <c r="B45" s="235" t="str">
        <f>HYPERLINK("https://uva.onlinejudge.org/index.php?option=com_onlinejudge&amp;Itemid=8&amp;page=show_problem&amp;problem=2117","UVA 11176")</f>
        <v>UVA 11176</v>
      </c>
      <c r="C45" s="67"/>
      <c r="D45" s="67"/>
      <c r="E45" s="67"/>
      <c r="F45" s="67"/>
      <c r="G45" s="67"/>
      <c r="H45" s="67"/>
      <c r="I45" s="36">
        <f t="shared" si="0"/>
        <v>0</v>
      </c>
      <c r="J45" s="10"/>
      <c r="K45" s="10"/>
      <c r="M45" s="130" t="str">
        <f>HYPERLINK("https://github.com/VAMPIER000001/CompetitiveProgramming/blob/master/UVA/V-111/UVA%2011176.cpp","Sol")</f>
        <v>Sol</v>
      </c>
    </row>
    <row r="46" spans="1:13" ht="12.5">
      <c r="A46" s="234"/>
      <c r="B46" s="234" t="s">
        <v>1134</v>
      </c>
      <c r="C46" s="67"/>
      <c r="D46" s="67"/>
      <c r="E46" s="67"/>
      <c r="F46" s="67"/>
      <c r="G46" s="67"/>
      <c r="H46" s="67"/>
      <c r="I46" s="36">
        <f t="shared" si="0"/>
        <v>0</v>
      </c>
      <c r="J46" s="10"/>
      <c r="K46" s="10"/>
    </row>
    <row r="47" spans="1:13" ht="12.5">
      <c r="A47" s="234"/>
      <c r="B47" s="234" t="s">
        <v>1135</v>
      </c>
      <c r="C47" s="67"/>
      <c r="D47" s="67"/>
      <c r="E47" s="67"/>
      <c r="F47" s="67"/>
      <c r="G47" s="67"/>
      <c r="H47" s="67"/>
      <c r="I47" s="36">
        <f t="shared" si="0"/>
        <v>0</v>
      </c>
      <c r="J47" s="10"/>
      <c r="K47" s="10"/>
      <c r="M47" s="130" t="str">
        <f>HYPERLINK("https://github.com/yazanKabbany/CompetitiveProgramming/blob/master/Topcoder/SRM465-D1-500.cpp","Sol")</f>
        <v>Sol</v>
      </c>
    </row>
    <row r="48" spans="1:13" ht="12.5">
      <c r="A48" s="234"/>
      <c r="B48" s="234" t="s">
        <v>1136</v>
      </c>
      <c r="C48" s="67"/>
      <c r="D48" s="67"/>
      <c r="E48" s="67"/>
      <c r="F48" s="67"/>
      <c r="G48" s="67"/>
      <c r="H48" s="67"/>
      <c r="I48" s="36">
        <f t="shared" si="0"/>
        <v>0</v>
      </c>
      <c r="J48" s="10"/>
      <c r="K48" s="10"/>
      <c r="M48" s="130" t="str">
        <f>HYPERLINK("https://github.com/mostafa-saad/MyCompetitiveProgramming/blob/master/UVA/UVA_10740.txt","Sol")</f>
        <v>Sol</v>
      </c>
    </row>
    <row r="49" spans="1:13" ht="12.5">
      <c r="A49" s="234"/>
      <c r="B49" s="234" t="s">
        <v>1137</v>
      </c>
      <c r="C49" s="67"/>
      <c r="D49" s="67"/>
      <c r="E49" s="67"/>
      <c r="F49" s="67"/>
      <c r="G49" s="67"/>
      <c r="H49" s="67"/>
      <c r="I49" s="36">
        <f t="shared" si="0"/>
        <v>0</v>
      </c>
      <c r="J49" s="10"/>
      <c r="K49" s="10"/>
    </row>
    <row r="50" spans="1:13" ht="12.5">
      <c r="A50" s="234"/>
      <c r="B50" s="234" t="s">
        <v>1138</v>
      </c>
      <c r="C50" s="67"/>
      <c r="D50" s="67"/>
      <c r="E50" s="67"/>
      <c r="F50" s="67"/>
      <c r="G50" s="67"/>
      <c r="H50" s="67"/>
      <c r="I50" s="36">
        <f t="shared" si="0"/>
        <v>0</v>
      </c>
      <c r="J50" s="10"/>
      <c r="K50" s="10"/>
    </row>
    <row r="51" spans="1:13" ht="12.5">
      <c r="A51" s="234"/>
      <c r="B51" s="234" t="s">
        <v>1139</v>
      </c>
      <c r="C51" s="67"/>
      <c r="D51" s="67"/>
      <c r="E51" s="67"/>
      <c r="F51" s="67"/>
      <c r="G51" s="67"/>
      <c r="H51" s="67"/>
      <c r="I51" s="36">
        <f t="shared" si="0"/>
        <v>0</v>
      </c>
      <c r="J51" s="10"/>
      <c r="K51" s="10"/>
      <c r="M51" s="130" t="str">
        <f>HYPERLINK("https://github.com/morris821028/UVa/blob/master/volume013/1342%20-%20That%20Nice%20Euler%20Circuit.cpp","Sol")</f>
        <v>Sol</v>
      </c>
    </row>
    <row r="52" spans="1:13" ht="12.5">
      <c r="A52" s="234"/>
      <c r="B52" s="235" t="str">
        <f>HYPERLINK("http://codeforces.com/contest/811/problem/D","CF811-D2-D")</f>
        <v>CF811-D2-D</v>
      </c>
      <c r="C52" s="67"/>
      <c r="D52" s="67"/>
      <c r="E52" s="67"/>
      <c r="F52" s="67"/>
      <c r="G52" s="67"/>
      <c r="H52" s="67"/>
      <c r="I52" s="36">
        <f t="shared" si="0"/>
        <v>0</v>
      </c>
      <c r="J52" s="10"/>
      <c r="K52" s="10"/>
    </row>
    <row r="53" spans="1:13" ht="12.5">
      <c r="A53" s="234"/>
      <c r="B53" s="235" t="str">
        <f>HYPERLINK("https://beta.atcoder.jp/contests/agc026/tasks/agc026_b","AtCoder026-AGC-B")</f>
        <v>AtCoder026-AGC-B</v>
      </c>
      <c r="C53" s="67"/>
      <c r="D53" s="67"/>
      <c r="E53" s="67"/>
      <c r="F53" s="67"/>
      <c r="G53" s="67"/>
      <c r="H53" s="67"/>
      <c r="I53" s="36">
        <f t="shared" si="0"/>
        <v>0</v>
      </c>
      <c r="J53" s="10"/>
      <c r="K53" s="10"/>
      <c r="M53" s="130" t="str">
        <f>HYPERLINK("https://github.com/dasannagariraja/CompetitiveProgramming/blob/master/AtCoder/AtCoder026-AGC-B.cpp","Sol")</f>
        <v>Sol</v>
      </c>
    </row>
    <row r="54" spans="1:13" ht="12.5">
      <c r="A54" s="234"/>
      <c r="B54" s="234" t="s">
        <v>1140</v>
      </c>
      <c r="C54" s="67"/>
      <c r="D54" s="67"/>
      <c r="E54" s="67"/>
      <c r="F54" s="67"/>
      <c r="G54" s="67"/>
      <c r="H54" s="67"/>
      <c r="I54" s="36">
        <f t="shared" si="0"/>
        <v>0</v>
      </c>
      <c r="J54" s="36"/>
      <c r="K54" s="36"/>
      <c r="M54" s="132" t="str">
        <f>HYPERLINK("https://github.com/mostafa-saad/MyCompetitiveProgramming/blob/master/SPOJ/SPOJ_FISHES.txt","Sol")</f>
        <v>Sol</v>
      </c>
    </row>
    <row r="55" spans="1:13" ht="12.5">
      <c r="A55" s="234"/>
      <c r="B55" s="234" t="s">
        <v>1141</v>
      </c>
      <c r="C55" s="67"/>
      <c r="D55" s="67"/>
      <c r="E55" s="67"/>
      <c r="F55" s="67"/>
      <c r="G55" s="67"/>
      <c r="H55" s="67"/>
      <c r="I55" s="36">
        <f t="shared" si="0"/>
        <v>0</v>
      </c>
      <c r="J55" s="36"/>
      <c r="K55" s="36"/>
      <c r="M55" s="132" t="str">
        <f>HYPERLINK("https://github.com/Huvok/CompetitiveProgramming/blob/master/UVA/11475.cpp", "Sol")</f>
        <v>Sol</v>
      </c>
    </row>
    <row r="56" spans="1:13" ht="12.5">
      <c r="A56" s="46"/>
      <c r="B56" s="120"/>
      <c r="C56" s="67"/>
      <c r="D56" s="67"/>
      <c r="E56" s="67"/>
      <c r="F56" s="67"/>
      <c r="G56" s="67"/>
      <c r="H56" s="67"/>
      <c r="I56" s="36">
        <f t="shared" si="0"/>
        <v>0</v>
      </c>
      <c r="J56" s="36"/>
      <c r="K56" s="36"/>
      <c r="M56" s="10"/>
    </row>
    <row r="57" spans="1:13" ht="12.5">
      <c r="A57" s="46" t="s">
        <v>1142</v>
      </c>
      <c r="B57" s="261" t="str">
        <f>HYPERLINK("http://codeforces.com/contest/478/problem/D","CF478-D2-D")</f>
        <v>CF478-D2-D</v>
      </c>
      <c r="C57" s="67"/>
      <c r="D57" s="67"/>
      <c r="E57" s="67"/>
      <c r="F57" s="67"/>
      <c r="G57" s="67"/>
      <c r="H57" s="67"/>
      <c r="I57" s="36">
        <f t="shared" si="0"/>
        <v>0</v>
      </c>
      <c r="J57" s="36"/>
      <c r="K57" s="36"/>
      <c r="M57" s="10"/>
    </row>
    <row r="58" spans="1:13" ht="12.5">
      <c r="A58" s="46" t="s">
        <v>1143</v>
      </c>
      <c r="B58" s="261" t="str">
        <f>HYPERLINK("http://codeforces.com/contest/363/problem/D","CF363-D2-D")</f>
        <v>CF363-D2-D</v>
      </c>
      <c r="C58" s="67"/>
      <c r="D58" s="67"/>
      <c r="E58" s="67"/>
      <c r="F58" s="67"/>
      <c r="G58" s="67"/>
      <c r="H58" s="67"/>
      <c r="I58" s="36">
        <f t="shared" si="0"/>
        <v>0</v>
      </c>
      <c r="J58" s="36"/>
      <c r="K58" s="36"/>
      <c r="M58" s="10"/>
    </row>
    <row r="59" spans="1:13" ht="12.5">
      <c r="A59" s="56" t="s">
        <v>1144</v>
      </c>
      <c r="B59" s="63" t="str">
        <f>HYPERLINK("http://codeforces.com/contest/146/problem/D","CF146-D2-D")</f>
        <v>CF146-D2-D</v>
      </c>
      <c r="C59" s="67"/>
      <c r="D59" s="67"/>
      <c r="E59" s="67"/>
      <c r="F59" s="67"/>
      <c r="G59" s="67"/>
      <c r="H59" s="67"/>
      <c r="I59" s="36">
        <f t="shared" si="0"/>
        <v>0</v>
      </c>
      <c r="J59" s="10"/>
      <c r="K59" s="10"/>
      <c r="M59" s="10"/>
    </row>
    <row r="60" spans="1:13" ht="12.5">
      <c r="A60" s="56" t="s">
        <v>1145</v>
      </c>
      <c r="B60" s="63" t="str">
        <f>HYPERLINK("http://codeforces.com/contest/496/problem/D","CF496-D2-D")</f>
        <v>CF496-D2-D</v>
      </c>
      <c r="C60" s="67"/>
      <c r="D60" s="67"/>
      <c r="E60" s="67"/>
      <c r="F60" s="67"/>
      <c r="G60" s="67"/>
      <c r="H60" s="67"/>
      <c r="I60" s="36">
        <f t="shared" si="0"/>
        <v>0</v>
      </c>
      <c r="J60" s="10"/>
      <c r="K60" s="10"/>
      <c r="M60" s="10"/>
    </row>
    <row r="61" spans="1:13" ht="12.5">
      <c r="A61" s="56" t="s">
        <v>1146</v>
      </c>
      <c r="B61" s="63" t="str">
        <f>HYPERLINK("http://codeforces.com/contest/340/problem/D","CF340-D2-D")</f>
        <v>CF340-D2-D</v>
      </c>
      <c r="C61" s="67"/>
      <c r="D61" s="67"/>
      <c r="E61" s="67"/>
      <c r="F61" s="67"/>
      <c r="G61" s="67"/>
      <c r="H61" s="67"/>
      <c r="I61" s="36">
        <f t="shared" si="0"/>
        <v>0</v>
      </c>
      <c r="J61" s="10"/>
      <c r="K61" s="10"/>
      <c r="M61" s="10"/>
    </row>
    <row r="62" spans="1:13" ht="12.5">
      <c r="A62" s="46" t="s">
        <v>1147</v>
      </c>
      <c r="B62" s="261" t="str">
        <f>HYPERLINK("http://codeforces.com/contest/402/problem/D","CF402-D2-D")</f>
        <v>CF402-D2-D</v>
      </c>
      <c r="C62" s="67"/>
      <c r="D62" s="67"/>
      <c r="E62" s="67"/>
      <c r="F62" s="67"/>
      <c r="G62" s="67"/>
      <c r="H62" s="67"/>
      <c r="I62" s="36">
        <f t="shared" si="0"/>
        <v>0</v>
      </c>
      <c r="J62" s="36"/>
      <c r="K62" s="36"/>
      <c r="M62" s="10"/>
    </row>
    <row r="63" spans="1:13" ht="12.5">
      <c r="A63" s="46"/>
      <c r="B63" s="261" t="s">
        <v>1148</v>
      </c>
      <c r="C63" s="67"/>
      <c r="D63" s="67"/>
      <c r="E63" s="67"/>
      <c r="F63" s="67"/>
      <c r="G63" s="67"/>
      <c r="H63" s="67"/>
      <c r="I63" s="36">
        <f t="shared" si="0"/>
        <v>0</v>
      </c>
      <c r="J63" s="36"/>
      <c r="K63" s="36"/>
      <c r="M63" s="132" t="str">
        <f>HYPERLINK("https://github.com/magdy-hasan/competitive-programming/blob/master/Other/ZOJ%20Get%20Sauce.cpp","Sol")</f>
        <v>Sol</v>
      </c>
    </row>
    <row r="64" spans="1:13" ht="12.5">
      <c r="A64" s="46"/>
      <c r="B64" s="261" t="str">
        <f>HYPERLINK("http://codeforces.com/problemset/problem/1017/D","CF1017-D12-D")</f>
        <v>CF1017-D12-D</v>
      </c>
      <c r="C64" s="67"/>
      <c r="D64" s="67"/>
      <c r="E64" s="67"/>
      <c r="F64" s="67"/>
      <c r="G64" s="67"/>
      <c r="H64" s="67"/>
      <c r="I64" s="36">
        <f t="shared" si="0"/>
        <v>0</v>
      </c>
      <c r="J64" s="36"/>
      <c r="K64" s="36"/>
      <c r="M64" s="10"/>
    </row>
    <row r="65" spans="1:13" ht="12.5">
      <c r="A65" s="150" t="s">
        <v>1149</v>
      </c>
      <c r="B65" s="211" t="str">
        <f>HYPERLINK("http://codeforces.com/contest/69/problem/C","CF69-D2-C")</f>
        <v>CF69-D2-C</v>
      </c>
      <c r="C65" s="67"/>
      <c r="D65" s="67"/>
      <c r="E65" s="67"/>
      <c r="F65" s="67"/>
      <c r="G65" s="67"/>
      <c r="H65" s="67"/>
      <c r="I65" s="36">
        <f t="shared" si="0"/>
        <v>0</v>
      </c>
      <c r="J65" s="36"/>
      <c r="K65" s="36"/>
      <c r="M65" s="10"/>
    </row>
    <row r="66" spans="1:13" ht="12.5">
      <c r="A66" s="150" t="s">
        <v>1150</v>
      </c>
      <c r="B66" s="211" t="str">
        <f>HYPERLINK("http://codeforces.com/contest/322/problem/C","CF322-D2-C")</f>
        <v>CF322-D2-C</v>
      </c>
      <c r="C66" s="67"/>
      <c r="D66" s="67"/>
      <c r="E66" s="67"/>
      <c r="F66" s="67"/>
      <c r="G66" s="67"/>
      <c r="H66" s="67"/>
      <c r="I66" s="36">
        <f t="shared" si="0"/>
        <v>0</v>
      </c>
      <c r="J66" s="36"/>
      <c r="K66" s="36"/>
      <c r="M66" s="10"/>
    </row>
    <row r="67" spans="1:13" ht="12.5">
      <c r="A67" s="150" t="s">
        <v>1151</v>
      </c>
      <c r="B67" s="211" t="str">
        <f>HYPERLINK("http://codeforces.com/contest/716/problem/C","CF716-D2-C")</f>
        <v>CF716-D2-C</v>
      </c>
      <c r="C67" s="67"/>
      <c r="D67" s="67"/>
      <c r="E67" s="67"/>
      <c r="F67" s="67"/>
      <c r="G67" s="67"/>
      <c r="H67" s="67"/>
      <c r="I67" s="36">
        <f t="shared" si="0"/>
        <v>0</v>
      </c>
      <c r="J67" s="36"/>
      <c r="K67" s="36"/>
      <c r="M67" s="10"/>
    </row>
    <row r="68" spans="1:13" ht="12.5">
      <c r="A68" s="46"/>
      <c r="B68" s="120"/>
      <c r="C68" s="67"/>
      <c r="D68" s="67"/>
      <c r="E68" s="67"/>
      <c r="F68" s="67"/>
      <c r="G68" s="67"/>
      <c r="H68" s="67"/>
      <c r="I68" s="36">
        <f t="shared" si="0"/>
        <v>0</v>
      </c>
      <c r="J68" s="36"/>
      <c r="K68" s="36"/>
      <c r="M68" s="10"/>
    </row>
    <row r="69" spans="1:13" ht="12.5">
      <c r="A69" s="79" t="s">
        <v>1152</v>
      </c>
      <c r="B69" s="148" t="str">
        <f>HYPERLINK("https://uva.onlinejudge.org/index.php?option=com_onlinejudge&amp;Itemid=8&amp;page=show_problem&amp;problem=4395","UVA 12657")</f>
        <v>UVA 12657</v>
      </c>
      <c r="C69" s="67"/>
      <c r="D69" s="67"/>
      <c r="E69" s="67"/>
      <c r="F69" s="67"/>
      <c r="G69" s="67"/>
      <c r="H69" s="67"/>
      <c r="I69" s="36">
        <f t="shared" si="0"/>
        <v>0</v>
      </c>
      <c r="J69" s="10"/>
      <c r="K69" s="10"/>
      <c r="M69" s="130" t="str">
        <f>HYPERLINK("http://qkxue.net/info/113260/UVA-Boxes-Line-12657","Sol")</f>
        <v>Sol</v>
      </c>
    </row>
    <row r="70" spans="1:13" ht="12.5">
      <c r="A70" s="79"/>
      <c r="B70" s="79" t="s">
        <v>1153</v>
      </c>
      <c r="C70" s="67"/>
      <c r="D70" s="67"/>
      <c r="E70" s="67"/>
      <c r="F70" s="67"/>
      <c r="G70" s="67"/>
      <c r="H70" s="67"/>
      <c r="I70" s="36">
        <f t="shared" si="0"/>
        <v>0</v>
      </c>
      <c r="J70" s="36"/>
      <c r="K70" s="36"/>
      <c r="M70" s="130" t="str">
        <f>HYPERLINK("https://github.com/BRAINOOOO/CompetitiveProgramming/blob/master/Spoj/SPOJ%20QUEST4.Cpp","Sol")</f>
        <v>Sol</v>
      </c>
    </row>
    <row r="71" spans="1:13" ht="12.5">
      <c r="A71" s="79" t="s">
        <v>1154</v>
      </c>
      <c r="B71" s="263" t="str">
        <f>HYPERLINK("https://uva.onlinejudge.org/index.php?option=onlinejudge&amp;page=show_problem&amp;problem=2322","UVA 11347")</f>
        <v>UVA 11347</v>
      </c>
      <c r="C71" s="67"/>
      <c r="D71" s="67"/>
      <c r="E71" s="67"/>
      <c r="F71" s="67"/>
      <c r="G71" s="67"/>
      <c r="H71" s="67"/>
      <c r="I71" s="36">
        <f t="shared" si="0"/>
        <v>0</v>
      </c>
      <c r="J71" s="36"/>
      <c r="K71" s="36"/>
    </row>
    <row r="72" spans="1:13" ht="12.5">
      <c r="A72" s="189" t="s">
        <v>1155</v>
      </c>
      <c r="B72" s="265" t="str">
        <f>HYPERLINK("https://uva.onlinejudge.org/index.php?option=com_onlinejudge&amp;Itemid=8&amp;page=show_problem&amp;problem=504","UVA 563")</f>
        <v>UVA 563</v>
      </c>
      <c r="C72" s="67"/>
      <c r="D72" s="67"/>
      <c r="E72" s="67"/>
      <c r="F72" s="67"/>
      <c r="G72" s="67"/>
      <c r="H72" s="67"/>
      <c r="I72" s="36">
        <f t="shared" si="0"/>
        <v>0</v>
      </c>
      <c r="J72" s="36"/>
      <c r="K72" s="36"/>
      <c r="M72" s="130" t="str">
        <f>HYPERLINK("https://github.com/BRAINOOOO/CompetitiveProgramming/blob/d60a5d1364a8f6aba3cd785c1e5d7825bf3818bc/UVA/UVA%20563.Cpp","Sol")</f>
        <v>Sol</v>
      </c>
    </row>
    <row r="73" spans="1:13" ht="12.5">
      <c r="A73" s="205"/>
      <c r="B73" s="266" t="s">
        <v>1156</v>
      </c>
      <c r="C73" s="67"/>
      <c r="D73" s="67"/>
      <c r="E73" s="67"/>
      <c r="F73" s="67"/>
      <c r="G73" s="67"/>
      <c r="H73" s="67"/>
      <c r="I73" s="36">
        <f t="shared" si="0"/>
        <v>0</v>
      </c>
      <c r="J73" s="36"/>
      <c r="K73" s="36"/>
    </row>
    <row r="74" spans="1:13" ht="12.5">
      <c r="A74" s="205"/>
      <c r="B74" s="266" t="s">
        <v>1157</v>
      </c>
      <c r="C74" s="67"/>
      <c r="D74" s="67"/>
      <c r="E74" s="67"/>
      <c r="F74" s="67"/>
      <c r="G74" s="67"/>
      <c r="H74" s="67"/>
      <c r="I74" s="36">
        <f t="shared" si="0"/>
        <v>0</v>
      </c>
      <c r="J74" s="36"/>
      <c r="K74" s="36"/>
    </row>
    <row r="75" spans="1:13" ht="12.5">
      <c r="A75" s="205" t="s">
        <v>1158</v>
      </c>
      <c r="B75" s="258" t="str">
        <f>HYPERLINK("http://www.spoj.com/problems/PROOT/","SPOJ PROOT")</f>
        <v>SPOJ PROOT</v>
      </c>
      <c r="C75" s="67"/>
      <c r="D75" s="67"/>
      <c r="E75" s="67"/>
      <c r="F75" s="67"/>
      <c r="G75" s="67"/>
      <c r="H75" s="67"/>
      <c r="I75" s="36">
        <f t="shared" si="0"/>
        <v>0</v>
      </c>
      <c r="J75" s="36"/>
      <c r="K75" s="36"/>
      <c r="M75" s="130" t="str">
        <f>HYPERLINK("http://zobayer.blogspot.com/2010/02/primitive-root.html","Sol")</f>
        <v>Sol</v>
      </c>
    </row>
    <row r="76" spans="1:13" ht="12.5">
      <c r="A76" s="205" t="s">
        <v>1159</v>
      </c>
      <c r="B76" s="267" t="str">
        <f>HYPERLINK("http://codeforces.com/problemset/gymProblem/101149/G","CF101149-GYM-G")</f>
        <v>CF101149-GYM-G</v>
      </c>
      <c r="C76" s="67"/>
      <c r="D76" s="67"/>
      <c r="E76" s="67"/>
      <c r="F76" s="67"/>
      <c r="G76" s="67"/>
      <c r="H76" s="67"/>
      <c r="I76" s="36">
        <f t="shared" si="0"/>
        <v>0</v>
      </c>
      <c r="J76" s="36"/>
      <c r="K76" s="36"/>
      <c r="M76" s="130" t="str">
        <f>HYPERLINK("https://github.com/BRAINOOOO/CompetitiveProgramming/blob/3057480d3a311cc86a6d64546655a9bb4017cbd6/CF/CF101149-GYM-G.Cpp","Sol")</f>
        <v>Sol</v>
      </c>
    </row>
    <row r="77" spans="1:13" ht="12.5">
      <c r="A77" s="79" t="s">
        <v>1160</v>
      </c>
      <c r="B77" s="268" t="str">
        <f>HYPERLINK("http://codeforces.com/contest/292/problem/D","CF292-D12-D")</f>
        <v>CF292-D12-D</v>
      </c>
      <c r="C77" s="67"/>
      <c r="D77" s="67"/>
      <c r="E77" s="67"/>
      <c r="F77" s="67"/>
      <c r="G77" s="67"/>
      <c r="H77" s="67"/>
      <c r="I77" s="36">
        <f t="shared" si="0"/>
        <v>0</v>
      </c>
      <c r="J77" s="36"/>
      <c r="K77" s="36"/>
    </row>
    <row r="78" spans="1:13" ht="12.5">
      <c r="A78" s="79" t="s">
        <v>1161</v>
      </c>
      <c r="B78" s="269" t="str">
        <f>HYPERLINK("http://www.spoj.com/problems/ANDROUND","SPOJ ANDROUND")</f>
        <v>SPOJ ANDROUND</v>
      </c>
      <c r="C78" s="67"/>
      <c r="D78" s="67"/>
      <c r="E78" s="67"/>
      <c r="F78" s="67"/>
      <c r="G78" s="67"/>
      <c r="H78" s="67"/>
      <c r="I78" s="36">
        <f t="shared" si="0"/>
        <v>0</v>
      </c>
      <c r="J78" s="36"/>
      <c r="K78" s="36"/>
      <c r="M78" s="130" t="str">
        <f>HYPERLINK("https://github.com/AliOsm/CompetitiveProgramming/blob/master/SPOJ/ANDROUND%20-%20AND%20Rounds.cpp","Sol")</f>
        <v>Sol</v>
      </c>
    </row>
    <row r="79" spans="1:13" ht="12.5">
      <c r="A79" s="79" t="s">
        <v>1162</v>
      </c>
      <c r="B79" s="257" t="str">
        <f>HYPERLINK("https://uva.onlinejudge.org/index.php?option=onlinejudge&amp;page=show_problem&amp;problem=2468","UVA 11473")</f>
        <v>UVA 11473</v>
      </c>
      <c r="C79" s="67"/>
      <c r="D79" s="67"/>
      <c r="E79" s="67"/>
      <c r="F79" s="67"/>
      <c r="G79" s="67"/>
      <c r="H79" s="67"/>
      <c r="I79" s="36">
        <f t="shared" si="0"/>
        <v>0</v>
      </c>
      <c r="J79" s="36"/>
      <c r="K79" s="36"/>
      <c r="M79" s="130" t="str">
        <f>HYPERLINK("https://github.com/osamahatem/CompetitiveProgramming/blob/master/UVA/11473%20-%20Campus%20Roads.cpp","Sol")</f>
        <v>Sol</v>
      </c>
    </row>
    <row r="80" spans="1:13" ht="12.5">
      <c r="A80" s="79" t="s">
        <v>1163</v>
      </c>
      <c r="B80" s="268" t="str">
        <f>HYPERLINK("http://codeforces.com/contest/437/problem/D","CF437-D2-D")</f>
        <v>CF437-D2-D</v>
      </c>
      <c r="C80" s="67"/>
      <c r="D80" s="67"/>
      <c r="E80" s="67"/>
      <c r="F80" s="67"/>
      <c r="G80" s="67"/>
      <c r="H80" s="67"/>
      <c r="I80" s="36">
        <f t="shared" si="0"/>
        <v>0</v>
      </c>
      <c r="J80" s="36"/>
      <c r="K80" s="36"/>
      <c r="M80" s="130" t="str">
        <f>HYPERLINK("https://github.com/abdullaAshraf/Problem-Solving/blob/master/CodeForces/CF437-D2-D.cpp","Sol")</f>
        <v>Sol</v>
      </c>
    </row>
    <row r="81" spans="1:13" ht="12.5">
      <c r="A81" s="79"/>
      <c r="B81" s="208" t="str">
        <f>HYPERLINK("http://codeforces.com/contest/403/problem/C","CF403-D1-C")</f>
        <v>CF403-D1-C</v>
      </c>
      <c r="C81" s="67"/>
      <c r="D81" s="67"/>
      <c r="E81" s="67"/>
      <c r="F81" s="67"/>
      <c r="G81" s="67"/>
      <c r="H81" s="67"/>
      <c r="I81" s="36">
        <f t="shared" si="0"/>
        <v>0</v>
      </c>
      <c r="J81" s="36"/>
      <c r="K81" s="36"/>
    </row>
    <row r="82" spans="1:13" ht="12.5">
      <c r="A82" s="79"/>
      <c r="B82" s="208" t="str">
        <f>HYPERLINK("http://codeforces.com/contest/787/problem/C","CF787-D2-C")</f>
        <v>CF787-D2-C</v>
      </c>
      <c r="C82" s="67"/>
      <c r="D82" s="67"/>
      <c r="E82" s="67"/>
      <c r="F82" s="67"/>
      <c r="G82" s="67"/>
      <c r="H82" s="67"/>
      <c r="I82" s="36">
        <f t="shared" si="0"/>
        <v>0</v>
      </c>
      <c r="J82" s="36"/>
      <c r="K82" s="36"/>
    </row>
    <row r="83" spans="1:13" ht="12.5">
      <c r="A83" s="79"/>
      <c r="B83" s="208" t="str">
        <f>HYPERLINK("http://codeforces.com/contest/309/problem/B","CF309-D12-B")</f>
        <v>CF309-D12-B</v>
      </c>
      <c r="C83" s="67"/>
      <c r="D83" s="67"/>
      <c r="E83" s="67"/>
      <c r="F83" s="67"/>
      <c r="G83" s="67"/>
      <c r="H83" s="67"/>
      <c r="I83" s="36">
        <f t="shared" si="0"/>
        <v>0</v>
      </c>
      <c r="J83" s="36"/>
      <c r="K83" s="36"/>
    </row>
    <row r="84" spans="1:13" ht="12.5">
      <c r="A84" s="79"/>
      <c r="B84" s="79" t="s">
        <v>1164</v>
      </c>
      <c r="C84" s="67"/>
      <c r="D84" s="67"/>
      <c r="E84" s="67"/>
      <c r="F84" s="67"/>
      <c r="G84" s="67"/>
      <c r="H84" s="67"/>
      <c r="I84" s="36">
        <f t="shared" si="0"/>
        <v>0</v>
      </c>
      <c r="J84" s="36"/>
      <c r="K84" s="36"/>
    </row>
    <row r="85" spans="1:13" ht="12.5">
      <c r="A85" s="79"/>
      <c r="B85" s="79" t="s">
        <v>1165</v>
      </c>
      <c r="C85" s="67"/>
      <c r="D85" s="67"/>
      <c r="E85" s="67"/>
      <c r="F85" s="67"/>
      <c r="G85" s="67"/>
      <c r="H85" s="67"/>
      <c r="I85" s="36">
        <f t="shared" si="0"/>
        <v>0</v>
      </c>
      <c r="J85" s="36"/>
      <c r="K85" s="36"/>
    </row>
    <row r="86" spans="1:13" ht="12.5">
      <c r="A86" s="79"/>
      <c r="B86" s="79" t="s">
        <v>1166</v>
      </c>
      <c r="C86" s="67"/>
      <c r="D86" s="67"/>
      <c r="E86" s="67"/>
      <c r="F86" s="67"/>
      <c r="G86" s="67"/>
      <c r="H86" s="67"/>
      <c r="I86" s="36">
        <f t="shared" si="0"/>
        <v>0</v>
      </c>
      <c r="J86" s="36"/>
      <c r="K86" s="36"/>
      <c r="M86" s="130" t="str">
        <f>HYPERLINK("https://github.com/MeGaCrazy/CompetitiveProgramming/blob/2a3c686ba85081a14c9df160224fc1659f7f93ab/Timus/TIMUS_1362.cpp","Sol")</f>
        <v>Sol</v>
      </c>
    </row>
    <row r="87" spans="1:13" ht="12.5">
      <c r="A87" s="79"/>
      <c r="B87" s="208" t="str">
        <f>HYPERLINK("http://codeforces.com/contest/1012/problem/C","CF1012-D1-C")</f>
        <v>CF1012-D1-C</v>
      </c>
      <c r="C87" s="67"/>
      <c r="D87" s="67"/>
      <c r="E87" s="67"/>
      <c r="F87" s="67"/>
      <c r="G87" s="67"/>
      <c r="H87" s="67"/>
      <c r="I87" s="36">
        <f t="shared" si="0"/>
        <v>0</v>
      </c>
      <c r="J87" s="36"/>
      <c r="K87" s="36"/>
    </row>
    <row r="88" spans="1:13" ht="12.5">
      <c r="A88" s="79"/>
      <c r="B88" s="79" t="s">
        <v>1167</v>
      </c>
      <c r="C88" s="67"/>
      <c r="D88" s="67"/>
      <c r="E88" s="67"/>
      <c r="F88" s="67"/>
      <c r="G88" s="67"/>
      <c r="H88" s="67"/>
      <c r="I88" s="36">
        <f t="shared" si="0"/>
        <v>0</v>
      </c>
      <c r="J88" s="36"/>
      <c r="K88" s="36"/>
      <c r="M88" s="130" t="str">
        <f>HYPERLINK("https://github.com/Huvok/CompetitiveProgramming/blob/master/SPOJ/COCONUTS.cpp","Sol")</f>
        <v>Sol</v>
      </c>
    </row>
    <row r="89" spans="1:13" ht="12.5">
      <c r="A89" s="79"/>
      <c r="B89" s="208" t="str">
        <f>HYPERLINK("https://www.facebook.com/hackercup/problem/1153996538071503/", "FbHkrCup 18-RQ-C")</f>
        <v>FbHkrCup 18-RQ-C</v>
      </c>
      <c r="C89" s="67"/>
      <c r="D89" s="67"/>
      <c r="E89" s="67"/>
      <c r="F89" s="67"/>
      <c r="G89" s="67"/>
      <c r="H89" s="67"/>
      <c r="I89" s="36">
        <f t="shared" si="0"/>
        <v>0</v>
      </c>
      <c r="J89" s="36"/>
      <c r="K89" s="36"/>
    </row>
    <row r="90" spans="1:13" ht="12.5">
      <c r="A90" s="79"/>
      <c r="B90" s="79" t="s">
        <v>1168</v>
      </c>
      <c r="C90" s="67"/>
      <c r="D90" s="67"/>
      <c r="E90" s="67"/>
      <c r="F90" s="67"/>
      <c r="G90" s="67"/>
      <c r="H90" s="67"/>
      <c r="I90" s="36">
        <f t="shared" si="0"/>
        <v>0</v>
      </c>
      <c r="J90" s="36"/>
      <c r="K90" s="36"/>
      <c r="M90" s="130" t="str">
        <f>HYPERLINK("https://github.com/HosamEissa/Competitive-programming-/blob/master/ACM-ICPC%20Live%20Archive/4682.cpp","Sol")</f>
        <v>Sol</v>
      </c>
    </row>
    <row r="91" spans="1:13" ht="12.5">
      <c r="A91" s="46"/>
      <c r="B91" s="120"/>
      <c r="C91" s="67"/>
      <c r="D91" s="67"/>
      <c r="E91" s="67"/>
      <c r="F91" s="67"/>
      <c r="G91" s="67"/>
      <c r="H91" s="67"/>
      <c r="I91" s="36">
        <f t="shared" si="0"/>
        <v>0</v>
      </c>
      <c r="J91" s="36"/>
      <c r="K91" s="36"/>
      <c r="M91" s="10"/>
    </row>
    <row r="92" spans="1:13" ht="12.5">
      <c r="A92" s="56" t="s">
        <v>1169</v>
      </c>
      <c r="B92" s="63" t="str">
        <f>HYPERLINK("http://codeforces.com/contest/651/problem/D","CF651-D2-D")</f>
        <v>CF651-D2-D</v>
      </c>
      <c r="C92" s="67"/>
      <c r="D92" s="67"/>
      <c r="E92" s="67"/>
      <c r="F92" s="67"/>
      <c r="G92" s="67"/>
      <c r="H92" s="67"/>
      <c r="I92" s="36">
        <f t="shared" si="0"/>
        <v>0</v>
      </c>
      <c r="J92" s="10"/>
      <c r="K92" s="10"/>
      <c r="M92" s="10"/>
    </row>
    <row r="93" spans="1:13" ht="12.5">
      <c r="A93" s="56" t="s">
        <v>1170</v>
      </c>
      <c r="B93" s="63" t="str">
        <f>HYPERLINK("http://codeforces.com/contest/281/problem/D","CF281-D2-D")</f>
        <v>CF281-D2-D</v>
      </c>
      <c r="C93" s="67"/>
      <c r="D93" s="67"/>
      <c r="E93" s="67"/>
      <c r="F93" s="67"/>
      <c r="G93" s="67"/>
      <c r="H93" s="67"/>
      <c r="I93" s="36">
        <f t="shared" si="0"/>
        <v>0</v>
      </c>
      <c r="J93" s="10"/>
      <c r="K93" s="10"/>
      <c r="M93" s="10"/>
    </row>
    <row r="94" spans="1:13" ht="12.5">
      <c r="A94" s="56" t="s">
        <v>1171</v>
      </c>
      <c r="B94" s="63" t="str">
        <f>HYPERLINK("http://codeforces.com/contest/313/problem/D","CF313-D2-D")</f>
        <v>CF313-D2-D</v>
      </c>
      <c r="C94" s="67"/>
      <c r="D94" s="67"/>
      <c r="E94" s="67"/>
      <c r="F94" s="67"/>
      <c r="G94" s="67"/>
      <c r="H94" s="67"/>
      <c r="I94" s="36">
        <f t="shared" si="0"/>
        <v>0</v>
      </c>
      <c r="J94" s="10"/>
      <c r="K94" s="10"/>
      <c r="M94" s="10"/>
    </row>
    <row r="95" spans="1:13" ht="12.5">
      <c r="A95" s="56" t="s">
        <v>1172</v>
      </c>
      <c r="B95" s="63" t="str">
        <f>HYPERLINK("http://codeforces.com/contest/255/problem/D","CF255-D2-D")</f>
        <v>CF255-D2-D</v>
      </c>
      <c r="C95" s="67"/>
      <c r="D95" s="67"/>
      <c r="E95" s="67"/>
      <c r="F95" s="67"/>
      <c r="G95" s="67"/>
      <c r="H95" s="67"/>
      <c r="I95" s="36">
        <f t="shared" si="0"/>
        <v>0</v>
      </c>
      <c r="J95" s="10"/>
      <c r="K95" s="10"/>
      <c r="M95" s="10"/>
    </row>
    <row r="96" spans="1:13" ht="12.5">
      <c r="A96" s="46" t="s">
        <v>1173</v>
      </c>
      <c r="B96" s="261" t="str">
        <f>HYPERLINK("http://codeforces.com/contest/298/problem/D","CF298-D2-D")</f>
        <v>CF298-D2-D</v>
      </c>
      <c r="C96" s="67"/>
      <c r="D96" s="67"/>
      <c r="E96" s="67"/>
      <c r="F96" s="67"/>
      <c r="G96" s="67"/>
      <c r="H96" s="67"/>
      <c r="I96" s="36">
        <f t="shared" si="0"/>
        <v>0</v>
      </c>
      <c r="J96" s="36"/>
      <c r="K96" s="36"/>
      <c r="M96" s="10"/>
    </row>
    <row r="97" spans="1:13" ht="12.5">
      <c r="A97" s="46" t="s">
        <v>1174</v>
      </c>
      <c r="B97" s="261" t="str">
        <f>HYPERLINK("http://codeforces.com/contest/237/problem/D","CF237-D2-D")</f>
        <v>CF237-D2-D</v>
      </c>
      <c r="C97" s="67"/>
      <c r="D97" s="67"/>
      <c r="E97" s="67"/>
      <c r="F97" s="67"/>
      <c r="G97" s="67"/>
      <c r="H97" s="67"/>
      <c r="I97" s="36">
        <f t="shared" si="0"/>
        <v>0</v>
      </c>
      <c r="J97" s="36"/>
      <c r="K97" s="36"/>
      <c r="M97" s="10"/>
    </row>
    <row r="98" spans="1:13" ht="12.5">
      <c r="A98" s="46" t="s">
        <v>1175</v>
      </c>
      <c r="B98" s="261" t="str">
        <f>HYPERLINK("http://codeforces.com/contest/168/problem/D","CF168-D2-D")</f>
        <v>CF168-D2-D</v>
      </c>
      <c r="C98" s="67"/>
      <c r="D98" s="67"/>
      <c r="E98" s="67"/>
      <c r="F98" s="67"/>
      <c r="G98" s="67"/>
      <c r="H98" s="67"/>
      <c r="I98" s="36">
        <f t="shared" si="0"/>
        <v>0</v>
      </c>
      <c r="J98" s="36"/>
      <c r="K98" s="36"/>
      <c r="M98" s="10"/>
    </row>
    <row r="99" spans="1:13" ht="25">
      <c r="A99" s="46"/>
      <c r="B99" s="261" t="str">
        <f>HYPERLINK("https://www.codechef.com/LTIME64B/problems/BJUDGE","CODECHEF BJUDGE")</f>
        <v>CODECHEF BJUDGE</v>
      </c>
      <c r="C99" s="67"/>
      <c r="D99" s="67"/>
      <c r="E99" s="67"/>
      <c r="F99" s="67"/>
      <c r="G99" s="67"/>
      <c r="H99" s="67"/>
      <c r="I99" s="36">
        <f t="shared" si="0"/>
        <v>0</v>
      </c>
      <c r="J99" s="36"/>
      <c r="K99" s="36"/>
      <c r="M99" s="10"/>
    </row>
    <row r="100" spans="1:13" ht="12.5">
      <c r="A100" s="150" t="s">
        <v>1176</v>
      </c>
      <c r="B100" s="211" t="str">
        <f>HYPERLINK("http://codeforces.com/contest/366/problem/C","CF366-D2-C")</f>
        <v>CF366-D2-C</v>
      </c>
      <c r="C100" s="67"/>
      <c r="D100" s="67"/>
      <c r="E100" s="67"/>
      <c r="F100" s="67"/>
      <c r="G100" s="67"/>
      <c r="H100" s="67"/>
      <c r="I100" s="36">
        <f t="shared" si="0"/>
        <v>0</v>
      </c>
      <c r="J100" s="36"/>
      <c r="K100" s="36"/>
      <c r="M100" s="10"/>
    </row>
    <row r="101" spans="1:13" ht="12.5">
      <c r="A101" s="46"/>
      <c r="C101" s="67"/>
      <c r="D101" s="67"/>
      <c r="E101" s="67"/>
      <c r="F101" s="67"/>
      <c r="G101" s="67"/>
      <c r="H101" s="67"/>
      <c r="I101" s="36">
        <f t="shared" si="0"/>
        <v>0</v>
      </c>
      <c r="J101" s="36"/>
      <c r="K101" s="36"/>
      <c r="M101" s="10"/>
    </row>
    <row r="102" spans="1:13" ht="12.5">
      <c r="A102" s="79" t="s">
        <v>1177</v>
      </c>
      <c r="B102" s="270" t="str">
        <f>HYPERLINK("https://uva.onlinejudge.org/index.php?option=com_onlinejudge&amp;Itemid=8&amp;page=show_problem&amp;problem=40","UVA 104")</f>
        <v>UVA 104</v>
      </c>
      <c r="C102" s="67"/>
      <c r="D102" s="67"/>
      <c r="E102" s="67"/>
      <c r="F102" s="67"/>
      <c r="G102" s="67"/>
      <c r="H102" s="67"/>
      <c r="I102" s="36">
        <f t="shared" si="0"/>
        <v>0</v>
      </c>
      <c r="J102" s="10"/>
      <c r="K102" s="10"/>
      <c r="M102" s="130" t="str">
        <f>HYPERLINK("https://github.com/abdullaAshraf/Problem-Solving/blob/master/UVA/104.cpp","Sol")</f>
        <v>Sol</v>
      </c>
    </row>
    <row r="103" spans="1:13" ht="12.5">
      <c r="A103" s="79" t="s">
        <v>1043</v>
      </c>
      <c r="B103" s="215" t="str">
        <f>HYPERLINK("http://codeforces.com/contest/431/problem/D","CF431-D2-D")</f>
        <v>CF431-D2-D</v>
      </c>
      <c r="C103" s="67"/>
      <c r="D103" s="67"/>
      <c r="E103" s="67"/>
      <c r="F103" s="67"/>
      <c r="G103" s="67"/>
      <c r="H103" s="67"/>
      <c r="I103" s="36">
        <f t="shared" si="0"/>
        <v>0</v>
      </c>
      <c r="J103" s="10"/>
      <c r="K103" s="10"/>
    </row>
    <row r="104" spans="1:13" ht="12.5">
      <c r="A104" s="79" t="s">
        <v>1178</v>
      </c>
      <c r="B104" s="148" t="str">
        <f>HYPERLINK("https://uva.onlinejudge.org/index.php?option=onlinejudge&amp;page=show_problem&amp;problem=442","UVA 501")</f>
        <v>UVA 501</v>
      </c>
      <c r="C104" s="67"/>
      <c r="D104" s="67"/>
      <c r="E104" s="67"/>
      <c r="F104" s="67"/>
      <c r="G104" s="67"/>
      <c r="H104" s="67"/>
      <c r="I104" s="36">
        <f t="shared" si="0"/>
        <v>0</v>
      </c>
      <c r="J104" s="10"/>
      <c r="K104" s="10"/>
      <c r="M104" s="130" t="str">
        <f>HYPERLINK("https://github.com/mostafa-saad/MyCompetitiveProgramming/blob/master/UVA/UVA_501.txt","Sol - Must Read")</f>
        <v>Sol - Must Read</v>
      </c>
    </row>
    <row r="105" spans="1:13" ht="12.5">
      <c r="A105" s="79" t="s">
        <v>1179</v>
      </c>
      <c r="B105" s="148" t="str">
        <f>HYPERLINK("https://uva.onlinejudge.org/index.php?option=com_onlinejudge&amp;Itemid=8&amp;page=show_problem&amp;problem=2175","UVA 11234")</f>
        <v>UVA 11234</v>
      </c>
      <c r="C105" s="67"/>
      <c r="D105" s="67"/>
      <c r="E105" s="67"/>
      <c r="F105" s="67"/>
      <c r="G105" s="67"/>
      <c r="H105" s="67"/>
      <c r="I105" s="36">
        <f t="shared" si="0"/>
        <v>0</v>
      </c>
      <c r="J105" s="10"/>
      <c r="K105" s="10"/>
      <c r="M105" s="130" t="str">
        <f>HYPERLINK("https://github.com/AbdelrahmanRamadan/competitive-programming/blob/master/UVA/11234%20-%20Expressions.cpp","Sol")</f>
        <v>Sol</v>
      </c>
    </row>
    <row r="106" spans="1:13" ht="12.5">
      <c r="A106" s="79" t="s">
        <v>1180</v>
      </c>
      <c r="B106" s="148" t="str">
        <f>HYPERLINK("http://www.spoj.com/problems/MSE07E/","SPOJ MSE07E")</f>
        <v>SPOJ MSE07E</v>
      </c>
      <c r="C106" s="67"/>
      <c r="D106" s="67"/>
      <c r="E106" s="67"/>
      <c r="F106" s="67"/>
      <c r="G106" s="67"/>
      <c r="H106" s="67"/>
      <c r="I106" s="36">
        <f t="shared" si="0"/>
        <v>0</v>
      </c>
      <c r="J106" s="10"/>
      <c r="K106" s="10"/>
      <c r="M106" s="130" t="str">
        <f>HYPERLINK("https://github.com/mostafa-saad/MyCompetitiveProgramming/blob/master/SPOJ/SPOJ_MSE07E.txt","Read SPOJ users' comments about IO. See here sol")</f>
        <v>Read SPOJ users' comments about IO. See here sol</v>
      </c>
    </row>
    <row r="107" spans="1:13" ht="12.5">
      <c r="A107" s="271" t="s">
        <v>1181</v>
      </c>
      <c r="B107" s="148" t="str">
        <f>HYPERLINK("http://www.spoj.com/problems/ANARC08A/","SPOJ ANARC08A")</f>
        <v>SPOJ ANARC08A</v>
      </c>
      <c r="C107" s="67"/>
      <c r="D107" s="67"/>
      <c r="E107" s="67"/>
      <c r="F107" s="67"/>
      <c r="G107" s="67"/>
      <c r="H107" s="67"/>
      <c r="I107" s="36">
        <f t="shared" si="0"/>
        <v>0</v>
      </c>
      <c r="J107" s="10"/>
      <c r="K107" s="10"/>
      <c r="M107" s="130" t="str">
        <f>HYPERLINK("https://github.com/mostafa-saad/MyCompetitiveProgramming/blob/master/SPOJ/SPOJ_ANARC08A.txt","Sol")</f>
        <v>Sol</v>
      </c>
    </row>
    <row r="108" spans="1:13" ht="12.5">
      <c r="A108" s="272" t="s">
        <v>1182</v>
      </c>
      <c r="B108" s="263" t="str">
        <f>HYPERLINK("https://uva.onlinejudge.org/index.php?option=com_onlinejudge&amp;Itemid=8&amp;page=show_problem&amp;problem=1360","UVA 10419")</f>
        <v>UVA 10419</v>
      </c>
      <c r="C108" s="67"/>
      <c r="D108" s="67"/>
      <c r="E108" s="67"/>
      <c r="F108" s="67"/>
      <c r="G108" s="67"/>
      <c r="H108" s="67"/>
      <c r="I108" s="36">
        <f t="shared" si="0"/>
        <v>0</v>
      </c>
      <c r="J108" s="36"/>
      <c r="K108" s="36"/>
      <c r="M108" s="130" t="str">
        <f>HYPERLINK("https://github.com/BRAINOOOO/CompetitiveProgramming/blob/master/UVA/V-104/UVA%2010419.Cpp","Sol")</f>
        <v>Sol</v>
      </c>
    </row>
    <row r="109" spans="1:13" ht="12.5">
      <c r="A109" s="273" t="s">
        <v>1183</v>
      </c>
      <c r="B109" s="258" t="str">
        <f>HYPERLINK("http://www.spoj.com/problems/HISTOGRA/","SPOJ HISTOGRA")</f>
        <v>SPOJ HISTOGRA</v>
      </c>
      <c r="C109" s="67"/>
      <c r="D109" s="67"/>
      <c r="E109" s="67"/>
      <c r="F109" s="67"/>
      <c r="G109" s="67"/>
      <c r="H109" s="67"/>
      <c r="I109" s="36">
        <f t="shared" si="0"/>
        <v>0</v>
      </c>
      <c r="J109" s="36"/>
      <c r="K109" s="36"/>
      <c r="M109" s="130" t="str">
        <f>HYPERLINK("https://github.com/mostafa-saad/MyCompetitiveProgramming/blob/master/SPOJ/SPOJ_HISTOGRA.txt","Sol. Don't implement as adhock/greedy/Pure STL. Use a data structure.")</f>
        <v>Sol. Don't implement as adhock/greedy/Pure STL. Use a data structure.</v>
      </c>
    </row>
    <row r="110" spans="1:13" ht="12.5">
      <c r="A110" s="274"/>
      <c r="B110" s="275" t="s">
        <v>1184</v>
      </c>
      <c r="C110" s="67"/>
      <c r="D110" s="67"/>
      <c r="E110" s="67"/>
      <c r="F110" s="67"/>
      <c r="G110" s="67"/>
      <c r="H110" s="67"/>
      <c r="I110" s="36">
        <f t="shared" si="0"/>
        <v>0</v>
      </c>
      <c r="J110" s="36"/>
      <c r="K110" s="36"/>
      <c r="M110" s="130" t="str">
        <f>HYPERLINK("https://github.com/BRAINOOOO/CompetitiveProgramming/blob/master/UVA/V-6/UVA%20663.Cpp","Sol")</f>
        <v>Sol</v>
      </c>
    </row>
    <row r="111" spans="1:13" ht="12.5">
      <c r="A111" s="276" t="str">
        <f>HYPERLINK("https://community.topcoder.com/stat?c=problem_statement&amp;pm=11282&amp;rd=14724","KingdomReorganization")</f>
        <v>KingdomReorganization</v>
      </c>
      <c r="B111" s="273" t="s">
        <v>1185</v>
      </c>
      <c r="C111" s="67"/>
      <c r="D111" s="67"/>
      <c r="E111" s="67"/>
      <c r="F111" s="67"/>
      <c r="G111" s="67"/>
      <c r="H111" s="67"/>
      <c r="I111" s="36">
        <f t="shared" si="0"/>
        <v>0</v>
      </c>
      <c r="J111" s="36"/>
      <c r="K111" s="36"/>
    </row>
    <row r="112" spans="1:13" ht="12.5">
      <c r="A112" s="274" t="s">
        <v>1186</v>
      </c>
      <c r="B112" s="258" t="str">
        <f>HYPERLINK("https://uva.onlinejudge.org/index.php?option=com_onlinejudge&amp;Itemid=8&amp;page=show_problem&amp;problem=1033","UVA 10092")</f>
        <v>UVA 10092</v>
      </c>
      <c r="C112" s="67"/>
      <c r="D112" s="67"/>
      <c r="E112" s="67"/>
      <c r="F112" s="67"/>
      <c r="G112" s="67"/>
      <c r="H112" s="67"/>
      <c r="I112" s="36">
        <f t="shared" si="0"/>
        <v>0</v>
      </c>
      <c r="J112" s="36"/>
      <c r="K112" s="36"/>
    </row>
    <row r="113" spans="1:13" ht="12.5">
      <c r="A113" s="274" t="s">
        <v>1187</v>
      </c>
      <c r="B113" s="258" t="str">
        <f>HYPERLINK("http://www.spoj.com/problems/PSYCHON/","SPOJ PSYCHON")</f>
        <v>SPOJ PSYCHON</v>
      </c>
      <c r="C113" s="67"/>
      <c r="D113" s="67"/>
      <c r="E113" s="67"/>
      <c r="F113" s="67"/>
      <c r="G113" s="67"/>
      <c r="H113" s="67"/>
      <c r="I113" s="36">
        <f t="shared" si="0"/>
        <v>0</v>
      </c>
      <c r="J113" s="36"/>
      <c r="K113" s="36"/>
    </row>
    <row r="114" spans="1:13" ht="12.5">
      <c r="A114" s="274" t="s">
        <v>1188</v>
      </c>
      <c r="B114" s="258" t="str">
        <f>HYPERLINK("https://icpcarchive.ecs.baylor.edu/index.php?option=onlinejudge&amp;page=show_problem&amp;problem=2327","LIVEARCHIVE 4326")</f>
        <v>LIVEARCHIVE 4326</v>
      </c>
      <c r="C114" s="67"/>
      <c r="D114" s="67"/>
      <c r="E114" s="67"/>
      <c r="F114" s="67"/>
      <c r="G114" s="67"/>
      <c r="H114" s="67"/>
      <c r="I114" s="36">
        <f t="shared" si="0"/>
        <v>0</v>
      </c>
      <c r="J114" s="36"/>
      <c r="K114" s="36"/>
    </row>
    <row r="115" spans="1:13" ht="12.5">
      <c r="A115" s="274" t="s">
        <v>1189</v>
      </c>
      <c r="B115" s="258" t="str">
        <f>HYPERLINK("https://uva.onlinejudge.org/index.php?option=com_onlinejudge&amp;Itemid=8&amp;page=show_problem&amp;problem=3675","UVA 1234")</f>
        <v>UVA 1234</v>
      </c>
      <c r="C115" s="67"/>
      <c r="D115" s="67"/>
      <c r="E115" s="67"/>
      <c r="F115" s="67"/>
      <c r="G115" s="67"/>
      <c r="H115" s="67"/>
      <c r="I115" s="36">
        <f t="shared" si="0"/>
        <v>0</v>
      </c>
      <c r="J115" s="36"/>
      <c r="K115" s="36"/>
      <c r="M115" s="130" t="str">
        <f>HYPERLINK("https://github.com/MohamedNabil97/CompetitiveProgramming/tree/master/UVA/1234.cpp","Sol")</f>
        <v>Sol</v>
      </c>
    </row>
    <row r="116" spans="1:13" ht="12.5">
      <c r="A116" s="276" t="str">
        <f>HYPERLINK("https://community.topcoder.com/stat?c=problem_statement&amp;pm=10750&amp;rd=14153","ActivateGame")</f>
        <v>ActivateGame</v>
      </c>
      <c r="B116" s="275" t="s">
        <v>1190</v>
      </c>
      <c r="C116" s="67"/>
      <c r="D116" s="67"/>
      <c r="E116" s="67"/>
      <c r="F116" s="67"/>
      <c r="G116" s="67"/>
      <c r="H116" s="67"/>
      <c r="I116" s="36">
        <f t="shared" si="0"/>
        <v>0</v>
      </c>
      <c r="J116" s="36"/>
      <c r="K116" s="36"/>
    </row>
    <row r="117" spans="1:13" ht="12.5">
      <c r="A117" s="189" t="s">
        <v>1191</v>
      </c>
      <c r="B117" s="207" t="str">
        <f>HYPERLINK("http://codeforces.com/contest/359/problem/D","CF359-D2-D")</f>
        <v>CF359-D2-D</v>
      </c>
      <c r="C117" s="67"/>
      <c r="D117" s="67"/>
      <c r="E117" s="67"/>
      <c r="F117" s="67"/>
      <c r="G117" s="67"/>
      <c r="H117" s="67"/>
      <c r="I117" s="36">
        <f t="shared" si="0"/>
        <v>0</v>
      </c>
      <c r="J117" s="10"/>
      <c r="K117" s="10"/>
      <c r="M117" s="130" t="str">
        <f>HYPERLINK("https://github.com/osamahatem/CompetitiveProgramming/blob/master/Codeforces/359D.%20Pair%20of%20Numbers.cpp","Sol")</f>
        <v>Sol</v>
      </c>
    </row>
    <row r="118" spans="1:13" ht="12.5">
      <c r="A118" s="79" t="s">
        <v>1192</v>
      </c>
      <c r="B118" s="79" t="s">
        <v>1193</v>
      </c>
      <c r="C118" s="67"/>
      <c r="D118" s="67"/>
      <c r="E118" s="67"/>
      <c r="F118" s="67"/>
      <c r="G118" s="67"/>
      <c r="H118" s="67"/>
      <c r="I118" s="36">
        <f t="shared" si="0"/>
        <v>0</v>
      </c>
      <c r="J118" s="10"/>
      <c r="K118" s="10"/>
    </row>
    <row r="119" spans="1:13" ht="12.5">
      <c r="A119" s="79" t="s">
        <v>1194</v>
      </c>
      <c r="B119" s="208" t="str">
        <f>HYPERLINK("https://uva.onlinejudge.org/index.php?option=onlinejudge&amp;page=show_problem&amp;problem=2321","UVa 11346")</f>
        <v>UVa 11346</v>
      </c>
      <c r="C119" s="67"/>
      <c r="D119" s="67"/>
      <c r="E119" s="67"/>
      <c r="F119" s="67"/>
      <c r="G119" s="67"/>
      <c r="H119" s="67"/>
      <c r="I119" s="36">
        <f t="shared" si="0"/>
        <v>0</v>
      </c>
      <c r="J119" s="10"/>
      <c r="K119" s="10"/>
      <c r="L119" s="10"/>
      <c r="M119" s="130" t="str">
        <f>HYPERLINK("https://github.com/VAMPIER000001/CompetitiveProgramming/blob/master/UVA/V-113/UVA%2011346.cpp","Sol")</f>
        <v>Sol</v>
      </c>
    </row>
    <row r="120" spans="1:13" ht="12.5">
      <c r="A120" s="79"/>
      <c r="B120" s="79" t="s">
        <v>1195</v>
      </c>
      <c r="C120" s="67"/>
      <c r="D120" s="67"/>
      <c r="E120" s="67"/>
      <c r="F120" s="67"/>
      <c r="G120" s="67"/>
      <c r="H120" s="67"/>
      <c r="I120" s="36">
        <f t="shared" si="0"/>
        <v>0</v>
      </c>
      <c r="J120" s="10"/>
      <c r="K120" s="10"/>
      <c r="L120" s="10"/>
      <c r="M120" s="28"/>
    </row>
    <row r="121" spans="1:13" ht="12.5">
      <c r="A121" s="79"/>
      <c r="B121" s="79" t="s">
        <v>1167</v>
      </c>
      <c r="C121" s="67"/>
      <c r="D121" s="67"/>
      <c r="E121" s="67"/>
      <c r="F121" s="67"/>
      <c r="G121" s="67"/>
      <c r="H121" s="67"/>
      <c r="I121" s="36">
        <f t="shared" si="0"/>
        <v>0</v>
      </c>
      <c r="J121" s="10"/>
      <c r="K121" s="10"/>
      <c r="L121" s="10"/>
      <c r="M121" s="130" t="str">
        <f>HYPERLINK("https://ideone.com/Hkl19P","Sol")</f>
        <v>Sol</v>
      </c>
    </row>
    <row r="122" spans="1:13" ht="12.5">
      <c r="A122" s="79"/>
      <c r="B122" s="208" t="str">
        <f>HYPERLINK("http://codeforces.com/contest/592/problem/D","CF592-D2-D")</f>
        <v>CF592-D2-D</v>
      </c>
      <c r="C122" s="67"/>
      <c r="D122" s="67"/>
      <c r="E122" s="67"/>
      <c r="F122" s="67"/>
      <c r="G122" s="67"/>
      <c r="H122" s="67"/>
      <c r="I122" s="36">
        <f t="shared" si="0"/>
        <v>0</v>
      </c>
      <c r="J122" s="10"/>
      <c r="K122" s="10"/>
      <c r="L122" s="10"/>
    </row>
    <row r="123" spans="1:13" ht="12.5">
      <c r="A123" s="79"/>
      <c r="B123" s="79" t="s">
        <v>1196</v>
      </c>
      <c r="C123" s="67"/>
      <c r="D123" s="67"/>
      <c r="E123" s="67"/>
      <c r="F123" s="67"/>
      <c r="G123" s="67"/>
      <c r="H123" s="67"/>
      <c r="I123" s="36">
        <f t="shared" si="0"/>
        <v>0</v>
      </c>
      <c r="J123" s="10"/>
      <c r="K123" s="10"/>
      <c r="L123" s="10"/>
      <c r="M123" s="130" t="str">
        <f>HYPERLINK("https://github.com/mostafa-saad/MyCompetitiveProgramming/blob/master/UVA/UVA_1218.txt","Sol")</f>
        <v>Sol</v>
      </c>
    </row>
    <row r="124" spans="1:13" ht="12.5">
      <c r="A124" s="79"/>
      <c r="B124" s="79" t="s">
        <v>1197</v>
      </c>
      <c r="C124" s="67"/>
      <c r="D124" s="67"/>
      <c r="E124" s="67"/>
      <c r="F124" s="67"/>
      <c r="G124" s="67"/>
      <c r="H124" s="67"/>
      <c r="I124" s="36">
        <f t="shared" si="0"/>
        <v>0</v>
      </c>
      <c r="J124" s="10"/>
      <c r="K124" s="10"/>
      <c r="L124" s="10"/>
      <c r="M124" s="130" t="str">
        <f>HYPERLINK("https://github.com/mostafa-saad/MyCompetitiveProgramming/blob/master/SPOJ/SPOJ_IOPC1207.txt","Sol")</f>
        <v>Sol</v>
      </c>
    </row>
    <row r="125" spans="1:13" ht="12.5">
      <c r="A125" s="79"/>
      <c r="B125" s="208" t="str">
        <f>HYPERLINK("https://codeforces.com/contest/867/problem/E","CF867-D12-E")</f>
        <v>CF867-D12-E</v>
      </c>
      <c r="C125" s="67"/>
      <c r="D125" s="67"/>
      <c r="E125" s="67"/>
      <c r="F125" s="67"/>
      <c r="G125" s="67"/>
      <c r="H125" s="67"/>
      <c r="I125" s="36">
        <f t="shared" si="0"/>
        <v>0</v>
      </c>
      <c r="J125" s="10"/>
      <c r="K125" s="10"/>
      <c r="L125" s="10"/>
    </row>
    <row r="126" spans="1:13" ht="12.5">
      <c r="A126" s="46"/>
      <c r="C126" s="67"/>
      <c r="D126" s="67"/>
      <c r="E126" s="67"/>
      <c r="F126" s="67"/>
      <c r="G126" s="67"/>
      <c r="H126" s="67"/>
      <c r="I126" s="36">
        <f t="shared" si="0"/>
        <v>0</v>
      </c>
      <c r="J126" s="36"/>
      <c r="K126" s="36"/>
      <c r="L126" s="10"/>
    </row>
    <row r="127" spans="1:13" ht="12.5">
      <c r="A127" s="56" t="s">
        <v>1198</v>
      </c>
      <c r="B127" s="112" t="str">
        <f>HYPERLINK("http://codeforces.com/contest/189/problem/D","CF189-D2-D")</f>
        <v>CF189-D2-D</v>
      </c>
      <c r="C127" s="67"/>
      <c r="D127" s="67"/>
      <c r="E127" s="67"/>
      <c r="F127" s="67"/>
      <c r="G127" s="67"/>
      <c r="H127" s="67"/>
      <c r="I127" s="36">
        <f t="shared" si="0"/>
        <v>0</v>
      </c>
      <c r="J127" s="10"/>
      <c r="K127" s="10"/>
      <c r="M127" s="130" t="str">
        <f>HYPERLINK("https://github.com/OmarMekkawy/Problems-Solved-Codes/blob/master/CodeForces/189D.cpp","Sol")</f>
        <v>Sol</v>
      </c>
    </row>
    <row r="128" spans="1:13" ht="12.5">
      <c r="A128" s="56" t="s">
        <v>1199</v>
      </c>
      <c r="B128" s="112" t="str">
        <f>HYPERLINK("http://codeforces.com/contest/604/problem/D","CF604-D2-D")</f>
        <v>CF604-D2-D</v>
      </c>
      <c r="C128" s="67"/>
      <c r="D128" s="67"/>
      <c r="E128" s="67"/>
      <c r="F128" s="67"/>
      <c r="G128" s="67"/>
      <c r="H128" s="67"/>
      <c r="I128" s="36">
        <f t="shared" si="0"/>
        <v>0</v>
      </c>
      <c r="J128" s="10"/>
      <c r="K128" s="10"/>
      <c r="M128" s="130" t="str">
        <f>HYPERLINK("https://github.com/MohamedNabil97/CompetitiveProgramming/blob/master/CodeForces/CF604-D2-D.cpp","Sol")</f>
        <v>Sol</v>
      </c>
    </row>
    <row r="129" spans="1:13" ht="12.5">
      <c r="A129" s="46" t="s">
        <v>1200</v>
      </c>
      <c r="B129" s="261" t="str">
        <f>HYPERLINK("http://codeforces.com/contest/122/problem/D","CF122-D2-D")</f>
        <v>CF122-D2-D</v>
      </c>
      <c r="C129" s="67"/>
      <c r="D129" s="67"/>
      <c r="E129" s="67"/>
      <c r="F129" s="67"/>
      <c r="G129" s="67"/>
      <c r="H129" s="67"/>
      <c r="I129" s="36">
        <f t="shared" si="0"/>
        <v>0</v>
      </c>
      <c r="J129" s="36"/>
      <c r="K129" s="36"/>
    </row>
    <row r="130" spans="1:13" ht="12.5">
      <c r="A130" s="46" t="s">
        <v>1201</v>
      </c>
      <c r="B130" s="261" t="str">
        <f>HYPERLINK("http://codeforces.com/contest/239/problem/D","CF239-D2-D")</f>
        <v>CF239-D2-D</v>
      </c>
      <c r="C130" s="67"/>
      <c r="D130" s="67"/>
      <c r="E130" s="67"/>
      <c r="F130" s="67"/>
      <c r="G130" s="67"/>
      <c r="H130" s="67"/>
      <c r="I130" s="36">
        <f t="shared" si="0"/>
        <v>0</v>
      </c>
      <c r="J130" s="36"/>
      <c r="K130" s="36"/>
      <c r="M130" s="130" t="str">
        <f>HYPERLINK("https://github.com/MedoN11/CompetitiveProgramming/blob/master/CodeForces/CF239-D2-D.java","Sol. Find proof (See editorial comments)")</f>
        <v>Sol. Find proof (See editorial comments)</v>
      </c>
    </row>
    <row r="131" spans="1:13" ht="12.5">
      <c r="A131" s="56" t="s">
        <v>1202</v>
      </c>
      <c r="B131" s="63" t="str">
        <f>HYPERLINK("http://codeforces.com/contest/599/problem/D","CF599-D2-D")</f>
        <v>CF599-D2-D</v>
      </c>
      <c r="C131" s="67"/>
      <c r="D131" s="67"/>
      <c r="E131" s="67"/>
      <c r="F131" s="67"/>
      <c r="G131" s="67"/>
      <c r="H131" s="67"/>
      <c r="I131" s="36">
        <f t="shared" si="0"/>
        <v>0</v>
      </c>
      <c r="J131" s="10"/>
      <c r="K131" s="10"/>
    </row>
    <row r="132" spans="1:13" ht="12.5">
      <c r="A132" s="56" t="s">
        <v>1203</v>
      </c>
      <c r="B132" s="112" t="str">
        <f>HYPERLINK("http://codeforces.com/contest/9/problem/D","CF9-D2-D")</f>
        <v>CF9-D2-D</v>
      </c>
      <c r="C132" s="67"/>
      <c r="D132" s="67"/>
      <c r="E132" s="67"/>
      <c r="F132" s="67"/>
      <c r="G132" s="67"/>
      <c r="H132" s="67"/>
      <c r="I132" s="36">
        <f t="shared" si="0"/>
        <v>0</v>
      </c>
      <c r="J132" s="10"/>
      <c r="K132" s="10"/>
    </row>
    <row r="133" spans="1:13" ht="12.5">
      <c r="A133" s="56"/>
      <c r="B133" s="112" t="str">
        <f>HYPERLINK("http://codeforces.com/contest/1043/problem/E","CF1043-D12-E")</f>
        <v>CF1043-D12-E</v>
      </c>
      <c r="C133" s="67"/>
      <c r="D133" s="67"/>
      <c r="E133" s="67"/>
      <c r="F133" s="67"/>
      <c r="G133" s="67"/>
      <c r="H133" s="67"/>
      <c r="I133" s="36">
        <f t="shared" si="0"/>
        <v>0</v>
      </c>
      <c r="J133" s="10"/>
      <c r="K133" s="10"/>
    </row>
    <row r="134" spans="1:13" ht="12.5">
      <c r="A134" s="56"/>
      <c r="B134" s="56" t="s">
        <v>1204</v>
      </c>
      <c r="C134" s="67"/>
      <c r="D134" s="67"/>
      <c r="E134" s="67"/>
      <c r="F134" s="67"/>
      <c r="G134" s="67"/>
      <c r="H134" s="67"/>
      <c r="I134" s="36">
        <f t="shared" si="0"/>
        <v>0</v>
      </c>
      <c r="J134" s="10"/>
      <c r="K134" s="10"/>
      <c r="M134" s="130" t="str">
        <f>HYPERLINK("https://github.com/jebouin/CompetitiveProgramming/blob/master/UVA/UVA%2010982.cpp","Sol")</f>
        <v>Sol</v>
      </c>
    </row>
    <row r="135" spans="1:13" ht="12.5">
      <c r="A135" s="56"/>
      <c r="B135" s="112" t="str">
        <f>HYPERLINK("https://codeforces.com/contest/1060/problem/D","CF1060-D12-D")</f>
        <v>CF1060-D12-D</v>
      </c>
      <c r="C135" s="67"/>
      <c r="D135" s="67"/>
      <c r="E135" s="67"/>
      <c r="F135" s="67"/>
      <c r="G135" s="67"/>
      <c r="H135" s="67"/>
      <c r="I135" s="36">
        <f t="shared" si="0"/>
        <v>0</v>
      </c>
      <c r="J135" s="10"/>
      <c r="K135" s="10"/>
    </row>
    <row r="136" spans="1:13" ht="12.5">
      <c r="A136" s="150" t="s">
        <v>1205</v>
      </c>
      <c r="B136" s="211" t="str">
        <f>HYPERLINK("http://codeforces.com/contest/104/problem/C","CF104-D2-C")</f>
        <v>CF104-D2-C</v>
      </c>
      <c r="C136" s="67"/>
      <c r="D136" s="67"/>
      <c r="E136" s="67"/>
      <c r="F136" s="67"/>
      <c r="G136" s="67"/>
      <c r="H136" s="67"/>
      <c r="I136" s="36">
        <f t="shared" si="0"/>
        <v>0</v>
      </c>
      <c r="J136" s="10"/>
      <c r="K136" s="10"/>
    </row>
    <row r="137" spans="1:13" ht="12.5">
      <c r="A137" s="150" t="s">
        <v>1206</v>
      </c>
      <c r="B137" s="211" t="str">
        <f>HYPERLINK("http://codeforces.com/contest/508/problem/C","CF508-D2-C")</f>
        <v>CF508-D2-C</v>
      </c>
      <c r="C137" s="67"/>
      <c r="D137" s="67"/>
      <c r="E137" s="67"/>
      <c r="F137" s="67"/>
      <c r="G137" s="67"/>
      <c r="H137" s="67"/>
      <c r="I137" s="36">
        <f t="shared" si="0"/>
        <v>0</v>
      </c>
      <c r="J137" s="10"/>
      <c r="K137" s="10"/>
    </row>
    <row r="138" spans="1:13" ht="12.5">
      <c r="A138" s="150" t="s">
        <v>1207</v>
      </c>
      <c r="B138" s="166" t="str">
        <f>HYPERLINK("http://codeforces.com/contest/895/problem/C","CF448-D2-C")</f>
        <v>CF448-D2-C</v>
      </c>
      <c r="C138" s="67"/>
      <c r="D138" s="67"/>
      <c r="E138" s="67"/>
      <c r="F138" s="67"/>
      <c r="G138" s="67"/>
      <c r="H138" s="67"/>
      <c r="I138" s="36">
        <f t="shared" si="0"/>
        <v>0</v>
      </c>
      <c r="J138" s="10"/>
      <c r="K138" s="10"/>
    </row>
    <row r="139" spans="1:13" ht="12.5">
      <c r="A139" s="46"/>
      <c r="C139" s="67"/>
      <c r="D139" s="67"/>
      <c r="E139" s="67"/>
      <c r="F139" s="67"/>
      <c r="G139" s="67"/>
      <c r="H139" s="67"/>
      <c r="I139" s="36">
        <f t="shared" si="0"/>
        <v>0</v>
      </c>
      <c r="J139" s="36"/>
      <c r="K139" s="36"/>
    </row>
    <row r="140" spans="1:13" ht="12.5">
      <c r="A140" s="189" t="s">
        <v>1208</v>
      </c>
      <c r="B140" s="258" t="str">
        <f>HYPERLINK("https://uva.onlinejudge.org/index.php?option=onlinejudge&amp;page=show_problem&amp;problem=2501","UVA 11506")</f>
        <v>UVA 11506</v>
      </c>
      <c r="C140" s="67"/>
      <c r="D140" s="67"/>
      <c r="E140" s="67"/>
      <c r="F140" s="67"/>
      <c r="G140" s="67"/>
      <c r="H140" s="67"/>
      <c r="I140" s="36">
        <f t="shared" si="0"/>
        <v>0</v>
      </c>
      <c r="J140" s="36"/>
      <c r="K140" s="36"/>
      <c r="M140" s="130" t="str">
        <f>HYPERLINK("https://github.com/abdullaAshraf/Problem-Solving/blob/master/UVA/11506.cpp","Sol")</f>
        <v>Sol</v>
      </c>
    </row>
    <row r="141" spans="1:13" ht="12.5">
      <c r="A141" s="205" t="s">
        <v>1209</v>
      </c>
      <c r="B141" s="258" t="str">
        <f>HYPERLINK("https://uva.onlinejudge.org/index.php?option=com_onlinejudge&amp;Itemid=8&amp;page=show_problem&amp;problem=1683","UVA 10742")</f>
        <v>UVA 10742</v>
      </c>
      <c r="C141" s="67"/>
      <c r="D141" s="67"/>
      <c r="E141" s="67"/>
      <c r="F141" s="67"/>
      <c r="G141" s="67"/>
      <c r="H141" s="67"/>
      <c r="I141" s="36">
        <f t="shared" si="0"/>
        <v>0</v>
      </c>
      <c r="J141" s="36"/>
      <c r="K141" s="36"/>
      <c r="M141" s="130" t="str">
        <f>HYPERLINK("https://github.com/abdullaAshraf/Problem-Solving/blob/master/UVA/10742.cpp","Sol")</f>
        <v>Sol</v>
      </c>
    </row>
    <row r="142" spans="1:13" ht="12.5">
      <c r="A142" s="79" t="s">
        <v>1210</v>
      </c>
      <c r="B142" s="148" t="str">
        <f>HYPERLINK("http://www.spoj.com/problems/MULTQ3/","SPOJ MULTQ3")</f>
        <v>SPOJ MULTQ3</v>
      </c>
      <c r="C142" s="67"/>
      <c r="D142" s="67"/>
      <c r="E142" s="67"/>
      <c r="F142" s="67"/>
      <c r="G142" s="67"/>
      <c r="H142" s="67"/>
      <c r="I142" s="36">
        <f t="shared" si="0"/>
        <v>0</v>
      </c>
      <c r="J142" s="10"/>
      <c r="K142" s="10"/>
      <c r="M142" s="130" t="str">
        <f>HYPERLINK("https://github.com/BRAINOOOO/CompetitiveProgramming/blob/master/Spoj/SPOJ%20MULTQ3.Cpp","Sol")</f>
        <v>Sol</v>
      </c>
    </row>
    <row r="143" spans="1:13" ht="12.5">
      <c r="A143" s="276" t="str">
        <f>HYPERLINK("https://community.topcoder.com/stat?c=problem_statement&amp;pm=11049&amp;rd=14245","TimeTravellingSalesman")</f>
        <v>TimeTravellingSalesman</v>
      </c>
      <c r="B143" s="275" t="s">
        <v>1211</v>
      </c>
      <c r="C143" s="67"/>
      <c r="D143" s="67"/>
      <c r="E143" s="67"/>
      <c r="F143" s="67"/>
      <c r="G143" s="67"/>
      <c r="H143" s="67"/>
      <c r="I143" s="36">
        <f t="shared" si="0"/>
        <v>0</v>
      </c>
      <c r="J143" s="36"/>
      <c r="K143" s="36"/>
    </row>
    <row r="144" spans="1:13" ht="12.5">
      <c r="A144" s="205" t="s">
        <v>1212</v>
      </c>
      <c r="B144" s="258" t="str">
        <f>HYPERLINK("https://uva.onlinejudge.org/index.php?option=com_onlinejudge&amp;Itemid=8&amp;page=show_problem&amp;problem=3277","UVA 12125")</f>
        <v>UVA 12125</v>
      </c>
      <c r="C144" s="67"/>
      <c r="D144" s="67"/>
      <c r="E144" s="67"/>
      <c r="F144" s="67"/>
      <c r="G144" s="67"/>
      <c r="H144" s="67"/>
      <c r="I144" s="36">
        <f t="shared" si="0"/>
        <v>0</v>
      </c>
      <c r="J144" s="36"/>
      <c r="K144" s="36"/>
      <c r="M144" s="130" t="str">
        <f>HYPERLINK("https://github.com/mostafa-saad/MyCompetitiveProgramming/blob/master/UVA/UVA_12125.txt","Sol")</f>
        <v>Sol</v>
      </c>
    </row>
    <row r="145" spans="1:13" ht="12.5">
      <c r="A145" s="277" t="str">
        <f>HYPERLINK("https://community.topcoder.com/stat?c=problem_statement&amp;pm=10580","PeopleYouMayKnow")</f>
        <v>PeopleYouMayKnow</v>
      </c>
      <c r="B145" s="275" t="s">
        <v>1213</v>
      </c>
      <c r="C145" s="67"/>
      <c r="D145" s="67"/>
      <c r="E145" s="67"/>
      <c r="F145" s="67"/>
      <c r="G145" s="67"/>
      <c r="H145" s="67"/>
      <c r="I145" s="36">
        <f t="shared" si="0"/>
        <v>0</v>
      </c>
      <c r="J145" s="36"/>
      <c r="K145" s="36"/>
      <c r="M145" s="147" t="str">
        <f>HYPERLINK("https://github.com/MohamedNabil97/CompetitiveProgramming/blob/master/TopCoder/SRM447-D1-500.cpp","Don't use DP. Check it later in editorial. Sol")</f>
        <v>Don't use DP. Check it later in editorial. Sol</v>
      </c>
    </row>
    <row r="146" spans="1:13" ht="12.5">
      <c r="A146" s="205" t="s">
        <v>1214</v>
      </c>
      <c r="B146" s="258" t="str">
        <f>HYPERLINK("https://uva.onlinejudge.org/index.php?option=com_onlinejudge&amp;Itemid=8&amp;page=show_problem&amp;problem=1519","UVA 10578")</f>
        <v>UVA 10578</v>
      </c>
      <c r="C146" s="67"/>
      <c r="D146" s="67"/>
      <c r="E146" s="67"/>
      <c r="F146" s="67"/>
      <c r="G146" s="67"/>
      <c r="H146" s="67"/>
      <c r="I146" s="36">
        <f t="shared" si="0"/>
        <v>0</v>
      </c>
      <c r="J146" s="36"/>
      <c r="K146" s="36"/>
      <c r="M146" s="147" t="str">
        <f>HYPERLINK("https://github.com/abdullaAshraf/Problem-Solving/blob/master/UVA/10578.cpp","Sol")</f>
        <v>Sol</v>
      </c>
    </row>
    <row r="147" spans="1:13" ht="12.5">
      <c r="A147" s="205" t="s">
        <v>1215</v>
      </c>
      <c r="B147" s="258" t="str">
        <f>HYPERLINK("http://www.spoj.com/problems/GSS4","SPOJ GSS4")</f>
        <v>SPOJ GSS4</v>
      </c>
      <c r="C147" s="67"/>
      <c r="D147" s="67"/>
      <c r="E147" s="67"/>
      <c r="F147" s="67"/>
      <c r="G147" s="67"/>
      <c r="H147" s="67"/>
      <c r="I147" s="36">
        <f t="shared" si="0"/>
        <v>0</v>
      </c>
      <c r="J147" s="36"/>
      <c r="K147" s="36"/>
      <c r="M147" s="147" t="str">
        <f>HYPERLINK("https://github.com/abdullaAshraf/Problem-Solving/blob/master/SPOJ/GSS4.cpp","Sol")</f>
        <v>Sol</v>
      </c>
    </row>
    <row r="148" spans="1:13" ht="12.5">
      <c r="A148" s="205" t="s">
        <v>1216</v>
      </c>
      <c r="B148" s="258" t="str">
        <f>HYPERLINK("acm.tju.edu.cn/toj/showp1011.html","TJU 1011")</f>
        <v>TJU 1011</v>
      </c>
      <c r="C148" s="67"/>
      <c r="D148" s="67"/>
      <c r="E148" s="67"/>
      <c r="F148" s="67"/>
      <c r="G148" s="67"/>
      <c r="H148" s="67"/>
      <c r="I148" s="36">
        <f t="shared" si="0"/>
        <v>0</v>
      </c>
      <c r="J148" s="36"/>
      <c r="K148" s="36"/>
      <c r="M148" s="147" t="str">
        <f>HYPERLINK("https://github.com/MedoN11/CompetitiveProgramming/blob/master/TJU/1011.cpp","Sol")</f>
        <v>Sol</v>
      </c>
    </row>
    <row r="149" spans="1:13" ht="12.5">
      <c r="A149" s="205" t="s">
        <v>1217</v>
      </c>
      <c r="B149" s="258" t="str">
        <f>HYPERLINK("http://codeforces.com/contest/801/problem/D","CF801-D2-D")</f>
        <v>CF801-D2-D</v>
      </c>
      <c r="C149" s="67"/>
      <c r="D149" s="67"/>
      <c r="E149" s="67"/>
      <c r="F149" s="67"/>
      <c r="G149" s="67"/>
      <c r="H149" s="67"/>
      <c r="I149" s="36">
        <f t="shared" si="0"/>
        <v>0</v>
      </c>
      <c r="J149" s="36"/>
      <c r="K149" s="36"/>
      <c r="L149" s="131"/>
      <c r="M149" s="169" t="str">
        <f>HYPERLINK("https://github.com/MeGaCrazy/CompetitiveProgramming/blob/ff934b5231a55818d401805db5e0caa0720a1fa4/Codeforces/CF801-D2-D.cpp","Sol")</f>
        <v>Sol</v>
      </c>
    </row>
    <row r="150" spans="1:13" ht="12.5">
      <c r="A150" s="205" t="s">
        <v>1218</v>
      </c>
      <c r="B150" s="278" t="str">
        <f>HYPERLINK("https://uva.onlinejudge.org/index.php?option=onlinejudge&amp;page=show_problem&amp;problem=1928","UVA 10987")</f>
        <v>UVA 10987</v>
      </c>
      <c r="C150" s="67"/>
      <c r="D150" s="67"/>
      <c r="E150" s="67"/>
      <c r="F150" s="67"/>
      <c r="G150" s="67"/>
      <c r="H150" s="67"/>
      <c r="I150" s="36">
        <f t="shared" si="0"/>
        <v>0</v>
      </c>
      <c r="J150" s="10"/>
      <c r="K150" s="10"/>
      <c r="M150" s="147" t="str">
        <f>HYPERLINK("https://github.com/abdullaAshraf/Problem-Solving/blob/master/UVA/10987.cpp","Sol")</f>
        <v>Sol</v>
      </c>
    </row>
    <row r="151" spans="1:13" ht="12.5">
      <c r="A151" s="79" t="s">
        <v>1219</v>
      </c>
      <c r="B151" s="215" t="str">
        <f>HYPERLINK("http://codeforces.com/contest/631/problem/D","CF631-D2-D")</f>
        <v>CF631-D2-D</v>
      </c>
      <c r="C151" s="67"/>
      <c r="D151" s="67"/>
      <c r="E151" s="67"/>
      <c r="F151" s="67"/>
      <c r="G151" s="67"/>
      <c r="H151" s="67"/>
      <c r="I151" s="36">
        <f t="shared" si="0"/>
        <v>0</v>
      </c>
      <c r="J151" s="10"/>
      <c r="K151" s="10"/>
      <c r="L151" s="10"/>
      <c r="M151" s="10"/>
    </row>
    <row r="152" spans="1:13" ht="12.5">
      <c r="A152" s="79"/>
      <c r="B152" s="79" t="s">
        <v>1220</v>
      </c>
      <c r="C152" s="67"/>
      <c r="D152" s="67"/>
      <c r="E152" s="67"/>
      <c r="F152" s="67"/>
      <c r="G152" s="67"/>
      <c r="H152" s="67"/>
      <c r="I152" s="36">
        <f t="shared" si="0"/>
        <v>0</v>
      </c>
      <c r="J152" s="10"/>
      <c r="K152" s="10"/>
      <c r="L152" s="10"/>
      <c r="M152" s="10"/>
    </row>
    <row r="153" spans="1:13" ht="12.5">
      <c r="A153" s="79"/>
      <c r="B153" s="79" t="s">
        <v>1221</v>
      </c>
      <c r="C153" s="67"/>
      <c r="D153" s="67"/>
      <c r="E153" s="67"/>
      <c r="F153" s="67"/>
      <c r="G153" s="67"/>
      <c r="H153" s="67"/>
      <c r="I153" s="36">
        <f t="shared" si="0"/>
        <v>0</v>
      </c>
      <c r="J153" s="10"/>
      <c r="K153" s="10"/>
      <c r="L153" s="10"/>
      <c r="M153" s="10"/>
    </row>
    <row r="154" spans="1:13" ht="12.5">
      <c r="A154" s="79"/>
      <c r="B154" s="215" t="str">
        <f>HYPERLINK("http://codeforces.com/contest/280/problem/C","CF280-D1-C")</f>
        <v>CF280-D1-C</v>
      </c>
      <c r="C154" s="67"/>
      <c r="D154" s="67"/>
      <c r="E154" s="67"/>
      <c r="F154" s="67"/>
      <c r="G154" s="67"/>
      <c r="H154" s="67"/>
      <c r="I154" s="36">
        <f t="shared" si="0"/>
        <v>0</v>
      </c>
      <c r="J154" s="10"/>
      <c r="K154" s="10"/>
      <c r="L154" s="10"/>
      <c r="M154" s="10"/>
    </row>
    <row r="155" spans="1:13" ht="12.5">
      <c r="A155" s="79"/>
      <c r="B155" s="215" t="str">
        <f>HYPERLINK("http://codeforces.com/contest/110/problem/D","CF110-D2-D")</f>
        <v>CF110-D2-D</v>
      </c>
      <c r="C155" s="67"/>
      <c r="D155" s="67"/>
      <c r="E155" s="67"/>
      <c r="F155" s="67"/>
      <c r="G155" s="67"/>
      <c r="H155" s="67"/>
      <c r="I155" s="36">
        <f t="shared" si="0"/>
        <v>0</v>
      </c>
      <c r="J155" s="10"/>
      <c r="K155" s="10"/>
      <c r="L155" s="10"/>
      <c r="M155" s="10"/>
    </row>
    <row r="156" spans="1:13" ht="12.5">
      <c r="A156" s="79"/>
      <c r="B156" s="215" t="str">
        <f>HYPERLINK("http://codeforces.com/contest/163/problem/C","CF163-D12-C")</f>
        <v>CF163-D12-C</v>
      </c>
      <c r="C156" s="67"/>
      <c r="D156" s="67"/>
      <c r="E156" s="67"/>
      <c r="F156" s="67"/>
      <c r="G156" s="67"/>
      <c r="H156" s="67"/>
      <c r="I156" s="36">
        <f t="shared" si="0"/>
        <v>0</v>
      </c>
      <c r="J156" s="10"/>
      <c r="K156" s="10"/>
      <c r="L156" s="10"/>
      <c r="M156" s="10"/>
    </row>
    <row r="157" spans="1:13" ht="12.5">
      <c r="A157" s="79"/>
      <c r="B157" s="215" t="str">
        <f>HYPERLINK("http://codeforces.com/contest/455/problem/B","CF455-D1-B")</f>
        <v>CF455-D1-B</v>
      </c>
      <c r="C157" s="67"/>
      <c r="D157" s="67"/>
      <c r="E157" s="67"/>
      <c r="F157" s="67"/>
      <c r="G157" s="67"/>
      <c r="H157" s="67"/>
      <c r="I157" s="36">
        <f t="shared" si="0"/>
        <v>0</v>
      </c>
      <c r="J157" s="10"/>
      <c r="K157" s="10"/>
      <c r="L157" s="10"/>
      <c r="M157" s="10"/>
    </row>
    <row r="158" spans="1:13" ht="12.5">
      <c r="A158" s="46"/>
      <c r="C158" s="67"/>
      <c r="D158" s="67"/>
      <c r="E158" s="67"/>
      <c r="F158" s="67"/>
      <c r="G158" s="67"/>
      <c r="H158" s="67"/>
      <c r="I158" s="36">
        <f t="shared" si="0"/>
        <v>0</v>
      </c>
      <c r="J158" s="36"/>
      <c r="K158" s="36"/>
      <c r="L158" s="10"/>
      <c r="M158" s="56"/>
    </row>
    <row r="159" spans="1:13" ht="12.5">
      <c r="A159" s="46" t="s">
        <v>1222</v>
      </c>
      <c r="B159" s="261" t="str">
        <f>HYPERLINK("http://codeforces.com/contest/197/problem/D","CF197-D2-D")</f>
        <v>CF197-D2-D</v>
      </c>
      <c r="C159" s="67"/>
      <c r="D159" s="67"/>
      <c r="E159" s="67"/>
      <c r="F159" s="67"/>
      <c r="G159" s="67"/>
      <c r="H159" s="67"/>
      <c r="I159" s="36">
        <f t="shared" si="0"/>
        <v>0</v>
      </c>
      <c r="J159" s="36"/>
      <c r="K159" s="36"/>
      <c r="L159" s="10"/>
      <c r="M159" s="56"/>
    </row>
    <row r="160" spans="1:13" ht="12.5">
      <c r="A160" s="46" t="s">
        <v>1223</v>
      </c>
      <c r="B160" s="261" t="str">
        <f>HYPERLINK("http://codeforces.com/contest/352/problem/D","CF352-D2-D")</f>
        <v>CF352-D2-D</v>
      </c>
      <c r="C160" s="67"/>
      <c r="D160" s="67"/>
      <c r="E160" s="67"/>
      <c r="F160" s="67"/>
      <c r="G160" s="67"/>
      <c r="H160" s="67"/>
      <c r="I160" s="36">
        <f t="shared" si="0"/>
        <v>0</v>
      </c>
      <c r="J160" s="36"/>
      <c r="K160" s="36"/>
      <c r="L160" s="10"/>
      <c r="M160" s="147" t="str">
        <f>HYPERLINK("https://github.com/BRAINOOOO/CompetitiveProgramming/blob/0577cb43f4a000eca9870ccc375c95381224aed1/CF/CF352-D2-D","Sol")</f>
        <v>Sol</v>
      </c>
    </row>
    <row r="161" spans="1:13" ht="12.5">
      <c r="A161" s="46" t="s">
        <v>1224</v>
      </c>
      <c r="B161" s="279" t="str">
        <f>HYPERLINK("http://codeforces.com/contest/812/problem/D","CF812-D2-D")</f>
        <v>CF812-D2-D</v>
      </c>
      <c r="C161" s="67"/>
      <c r="D161" s="67"/>
      <c r="E161" s="67"/>
      <c r="F161" s="67"/>
      <c r="G161" s="67"/>
      <c r="H161" s="67"/>
      <c r="I161" s="36">
        <f t="shared" si="0"/>
        <v>0</v>
      </c>
      <c r="J161" s="36"/>
      <c r="K161" s="36"/>
      <c r="L161" s="10"/>
      <c r="M161" s="147" t="str">
        <f>HYPERLINK("https://github.com/BRAINOOOO/CompetitiveProgramming/blob/master/CF/CF812-D2-D","Sol")</f>
        <v>Sol</v>
      </c>
    </row>
    <row r="162" spans="1:13" ht="12.5">
      <c r="A162" s="56" t="s">
        <v>1225</v>
      </c>
      <c r="B162" s="131" t="str">
        <f>HYPERLINK("http://codeforces.com/contest/242/problem/D","CF242-D2-D")</f>
        <v>CF242-D2-D</v>
      </c>
      <c r="C162" s="67"/>
      <c r="D162" s="67"/>
      <c r="E162" s="67"/>
      <c r="F162" s="67"/>
      <c r="G162" s="67"/>
      <c r="H162" s="67"/>
      <c r="I162" s="36">
        <f t="shared" si="0"/>
        <v>0</v>
      </c>
      <c r="J162" s="10"/>
      <c r="K162" s="10"/>
      <c r="L162" s="10"/>
      <c r="M162" s="10"/>
    </row>
    <row r="163" spans="1:13" ht="12.5">
      <c r="A163" s="56" t="s">
        <v>1226</v>
      </c>
      <c r="B163" s="218" t="str">
        <f>HYPERLINK("http://codeforces.com/contest/688/problem/D","CF688-D2-D")</f>
        <v>CF688-D2-D</v>
      </c>
      <c r="C163" s="67"/>
      <c r="D163" s="67"/>
      <c r="E163" s="67"/>
      <c r="F163" s="67"/>
      <c r="G163" s="67"/>
      <c r="H163" s="67"/>
      <c r="I163" s="36">
        <f t="shared" si="0"/>
        <v>0</v>
      </c>
      <c r="J163" s="10"/>
      <c r="K163" s="10"/>
      <c r="L163" s="10"/>
      <c r="M163" s="10"/>
    </row>
    <row r="164" spans="1:13" ht="12.5">
      <c r="A164" s="10"/>
      <c r="B164" s="218" t="str">
        <f>HYPERLINK("http://codeforces.com/contest/1075/problem/D","CF1075-D2-D")</f>
        <v>CF1075-D2-D</v>
      </c>
      <c r="C164" s="67"/>
      <c r="D164" s="67"/>
      <c r="E164" s="67"/>
      <c r="F164" s="67"/>
      <c r="G164" s="67"/>
      <c r="H164" s="67"/>
      <c r="I164" s="36">
        <f t="shared" si="0"/>
        <v>0</v>
      </c>
      <c r="J164" s="10"/>
      <c r="K164" s="10"/>
      <c r="L164" s="10"/>
      <c r="M164" s="10"/>
    </row>
    <row r="165" spans="1:13" ht="12.5">
      <c r="A165" s="10"/>
      <c r="B165" s="218" t="str">
        <f>HYPERLINK("http://codeforces.com/problemset/problem/1033/D", "CF1033-D12-D")</f>
        <v>CF1033-D12-D</v>
      </c>
      <c r="C165" s="67"/>
      <c r="D165" s="67"/>
      <c r="E165" s="67"/>
      <c r="F165" s="67"/>
      <c r="G165" s="67"/>
      <c r="H165" s="67"/>
      <c r="I165" s="36">
        <f t="shared" si="0"/>
        <v>0</v>
      </c>
      <c r="J165" s="10"/>
      <c r="K165" s="10"/>
      <c r="L165" s="10"/>
      <c r="M165" s="10"/>
    </row>
    <row r="166" spans="1:13" ht="12.5">
      <c r="A166" s="10"/>
      <c r="B166" s="218" t="str">
        <f>HYPERLINK("http://codeforces.com/problemset/problem/442/B","CF442-D1-B")</f>
        <v>CF442-D1-B</v>
      </c>
      <c r="C166" s="67"/>
      <c r="D166" s="67"/>
      <c r="E166" s="67"/>
      <c r="F166" s="67"/>
      <c r="G166" s="67"/>
      <c r="H166" s="67"/>
      <c r="I166" s="36">
        <f t="shared" si="0"/>
        <v>0</v>
      </c>
      <c r="J166" s="10"/>
      <c r="K166" s="10"/>
      <c r="L166" s="10"/>
      <c r="M166" s="10"/>
    </row>
    <row r="167" spans="1:13" ht="12.5">
      <c r="A167" s="10"/>
      <c r="B167" s="218" t="str">
        <f>HYPERLINK("http://codeforces.com/contest/1025/problem/D","CF1025-D2-D")</f>
        <v>CF1025-D2-D</v>
      </c>
      <c r="C167" s="67"/>
      <c r="D167" s="67"/>
      <c r="E167" s="67"/>
      <c r="F167" s="67"/>
      <c r="G167" s="67"/>
      <c r="H167" s="67"/>
      <c r="I167" s="36">
        <f t="shared" si="0"/>
        <v>0</v>
      </c>
      <c r="J167" s="10"/>
      <c r="K167" s="10"/>
      <c r="L167" s="10"/>
      <c r="M167" s="10"/>
    </row>
    <row r="168" spans="1:13" ht="12.5">
      <c r="A168" s="10"/>
      <c r="B168" s="218" t="str">
        <f>HYPERLINK("http://codeforces.com/contest/1071/problem/B","CF1072-D2-D")</f>
        <v>CF1072-D2-D</v>
      </c>
      <c r="C168" s="67"/>
      <c r="D168" s="67"/>
      <c r="E168" s="67"/>
      <c r="F168" s="67"/>
      <c r="G168" s="67"/>
      <c r="H168" s="67"/>
      <c r="I168" s="36">
        <f t="shared" si="0"/>
        <v>0</v>
      </c>
      <c r="J168" s="10"/>
      <c r="K168" s="10"/>
      <c r="L168" s="10"/>
      <c r="M168" s="10"/>
    </row>
  </sheetData>
  <conditionalFormatting sqref="C3:C168">
    <cfRule type="cellIs" dxfId="15" priority="4" operator="equal">
      <formula>"AC"</formula>
    </cfRule>
    <cfRule type="containsText" dxfId="14" priority="5" operator="containsText" text="WA">
      <formula>NOT(ISERROR(SEARCH(("WA"),(C3))))</formula>
    </cfRule>
    <cfRule type="containsText" dxfId="13" priority="7" operator="containsText" text="TLE">
      <formula>NOT(ISERROR(SEARCH(("TLE"),(C3))))</formula>
    </cfRule>
    <cfRule type="containsText" dxfId="12" priority="9" operator="containsText" text="RTE">
      <formula>NOT(ISERROR(SEARCH(("RTE"),(C3))))</formula>
    </cfRule>
    <cfRule type="containsText" dxfId="11" priority="11" operator="containsText" text="CS">
      <formula>NOT(ISERROR(SEARCH(("CS"),(C3))))</formula>
    </cfRule>
  </conditionalFormatting>
  <conditionalFormatting sqref="K3:K168">
    <cfRule type="cellIs" dxfId="10" priority="1" operator="equal">
      <formula>"No"</formula>
    </cfRule>
    <cfRule type="cellIs" dxfId="9" priority="2" operator="equal">
      <formula>"no"</formula>
    </cfRule>
    <cfRule type="cellIs" dxfId="8" priority="3" operator="equal">
      <formula>"NO"</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Q981"/>
  <sheetViews>
    <sheetView workbookViewId="0">
      <pane xSplit="2" ySplit="2" topLeftCell="C382" activePane="bottomRight" state="frozen"/>
      <selection pane="topRight" activeCell="C1" sqref="C1"/>
      <selection pane="bottomLeft" activeCell="A3" sqref="A3"/>
      <selection pane="bottomRight" activeCell="K234" sqref="K234"/>
    </sheetView>
  </sheetViews>
  <sheetFormatPr defaultColWidth="15.1796875" defaultRowHeight="15.75" customHeight="1"/>
  <cols>
    <col min="1" max="1" width="13.7265625" customWidth="1"/>
    <col min="2" max="2" width="17.453125" customWidth="1"/>
    <col min="3" max="3" width="6" customWidth="1"/>
    <col min="4" max="4" width="6.54296875" customWidth="1"/>
    <col min="5" max="5" width="7.453125" customWidth="1"/>
    <col min="6" max="6" width="8.1796875" customWidth="1"/>
    <col min="7" max="7" width="8.7265625" customWidth="1"/>
    <col min="8" max="9" width="7.453125" customWidth="1"/>
    <col min="10" max="12" width="8.7265625" customWidth="1"/>
    <col min="13" max="13" width="35.453125" customWidth="1"/>
    <col min="14" max="14" width="31.54296875" customWidth="1"/>
    <col min="15" max="15" width="7.81640625" customWidth="1"/>
    <col min="16" max="16" width="4.54296875" customWidth="1"/>
    <col min="17" max="17" width="6.453125" customWidth="1"/>
  </cols>
  <sheetData>
    <row r="1" spans="1:17" ht="52">
      <c r="A1" s="280" t="s">
        <v>1227</v>
      </c>
      <c r="B1" s="281" t="s">
        <v>147</v>
      </c>
      <c r="C1" s="282" t="s">
        <v>148</v>
      </c>
      <c r="D1" s="282" t="s">
        <v>149</v>
      </c>
      <c r="E1" s="282" t="s">
        <v>150</v>
      </c>
      <c r="F1" s="282" t="s">
        <v>151</v>
      </c>
      <c r="G1" s="282" t="s">
        <v>152</v>
      </c>
      <c r="H1" s="282" t="s">
        <v>153</v>
      </c>
      <c r="I1" s="282" t="s">
        <v>154</v>
      </c>
      <c r="J1" s="282" t="s">
        <v>155</v>
      </c>
      <c r="K1" s="282" t="s">
        <v>156</v>
      </c>
      <c r="L1" s="282" t="s">
        <v>157</v>
      </c>
      <c r="M1" s="283" t="s">
        <v>1228</v>
      </c>
      <c r="N1" s="284" t="s">
        <v>1229</v>
      </c>
      <c r="O1" s="284" t="s">
        <v>1230</v>
      </c>
      <c r="P1" s="284" t="s">
        <v>1231</v>
      </c>
      <c r="Q1" s="284" t="s">
        <v>1232</v>
      </c>
    </row>
    <row r="2" spans="1:17" ht="13">
      <c r="A2" s="285"/>
      <c r="B2" s="28" t="s">
        <v>159</v>
      </c>
      <c r="C2" s="37">
        <f>COUNTIF(C8:C11369, "AC")</f>
        <v>0</v>
      </c>
      <c r="D2" s="37" t="e">
        <f ca="1">ROUND(SUMPRODUCT(D8:D11369,INT(EQ(C8:C11369, "AC")))/MAX(1, C2),1)</f>
        <v>#NAME?</v>
      </c>
      <c r="E2" s="37" t="e">
        <f ca="1">ROUND(SUMPRODUCT(E8:E11391,INT(EQ(C8:C11391, "AC")))/MAX(1, C2),0)</f>
        <v>#NAME?</v>
      </c>
      <c r="F2" s="37" t="e">
        <f ca="1">ROUND(SUMPRODUCT(F8:F11394,INT(EQ(C8:C11394, "AC")))/MAX(1, C2),0)</f>
        <v>#NAME?</v>
      </c>
      <c r="G2" s="37" t="e">
        <f ca="1">ROUND(SUMPRODUCT(G8:G11394,INT(EQ(C8:C11394, "AC")))/MAX(1, C2),0)</f>
        <v>#NAME?</v>
      </c>
      <c r="H2" s="37" t="e">
        <f ca="1">ROUND(SUMPRODUCT(H8:H11394,INT(EQ(C8:C11394, "AC")))/MAX(1, C2),0)</f>
        <v>#NAME?</v>
      </c>
      <c r="I2" s="37" t="e">
        <f ca="1">ROUND(SUMPRODUCT(I8:I11366,INT(EQ(C8:C11366, "AC")))/MAX(1, C2),0)</f>
        <v>#NAME?</v>
      </c>
      <c r="J2" s="37" t="e">
        <f ca="1">ROUND(SUMPRODUCT(J8:J11364,INT(EQ(C8:C11364, "AC")))/MAX(1, C2),1)</f>
        <v>#NAME?</v>
      </c>
      <c r="K2" s="37" t="e">
        <f ca="1">SUMPRODUCT(EQ(K8:K11369, "YES"),INT(EQ(C8:C11394, "AC")))</f>
        <v>#NAME?</v>
      </c>
      <c r="L2" s="38">
        <f ca="1">IFERROR(__xludf.DUMMYFUNCTION("COUNTA(FILTER(C8:C10861, NOT(REGEXMATCH(C8:C10861, ""AC""))))"),0)</f>
        <v>0</v>
      </c>
      <c r="M2" s="39">
        <f ca="1">IFERROR(__xludf.DUMMYFUNCTION("COUNTA(FILTER(C8:C10855, NOT(REGEXMATCH(C8:C10855, ""AC""))))"),0)</f>
        <v>0</v>
      </c>
      <c r="N2" s="39"/>
      <c r="O2" s="39"/>
      <c r="P2" s="39"/>
      <c r="Q2" s="39"/>
    </row>
    <row r="3" spans="1:17" ht="13">
      <c r="A3" s="60"/>
      <c r="B3" s="60"/>
      <c r="C3" s="411" t="s">
        <v>1233</v>
      </c>
      <c r="D3" s="365"/>
      <c r="E3" s="365"/>
      <c r="F3" s="365"/>
      <c r="G3" s="365"/>
      <c r="H3" s="365"/>
      <c r="I3" s="365"/>
      <c r="J3" s="365"/>
      <c r="K3" s="365"/>
      <c r="L3" s="365"/>
      <c r="M3" s="365"/>
      <c r="N3" s="191"/>
      <c r="O3" s="191"/>
      <c r="P3" s="286"/>
    </row>
    <row r="4" spans="1:17" ht="13">
      <c r="A4" s="60"/>
      <c r="B4" s="60"/>
      <c r="C4" s="411" t="s">
        <v>1234</v>
      </c>
      <c r="D4" s="365"/>
      <c r="E4" s="365"/>
      <c r="F4" s="365"/>
      <c r="G4" s="365"/>
      <c r="H4" s="365"/>
      <c r="I4" s="365"/>
      <c r="J4" s="365"/>
      <c r="K4" s="365"/>
      <c r="L4" s="365"/>
      <c r="M4" s="365"/>
      <c r="N4" s="191"/>
      <c r="O4" s="191"/>
      <c r="P4" s="286"/>
    </row>
    <row r="5" spans="1:17" ht="13">
      <c r="A5" s="60"/>
      <c r="B5" s="60"/>
      <c r="C5" s="411" t="s">
        <v>1235</v>
      </c>
      <c r="D5" s="365"/>
      <c r="E5" s="365"/>
      <c r="F5" s="365"/>
      <c r="G5" s="365"/>
      <c r="H5" s="365"/>
      <c r="I5" s="365"/>
      <c r="J5" s="365"/>
      <c r="K5" s="365"/>
      <c r="L5" s="365"/>
      <c r="M5" s="365"/>
      <c r="N5" s="191"/>
      <c r="O5" s="191"/>
      <c r="P5" s="286"/>
    </row>
    <row r="6" spans="1:17" ht="12.5">
      <c r="A6" s="60"/>
      <c r="B6" s="60"/>
      <c r="C6" s="19"/>
      <c r="D6" s="19"/>
      <c r="E6" s="19"/>
      <c r="F6" s="19"/>
      <c r="G6" s="19"/>
      <c r="H6" s="19"/>
      <c r="I6" s="19"/>
      <c r="J6" s="19"/>
      <c r="K6" s="19"/>
      <c r="L6" s="19"/>
      <c r="M6" s="53"/>
      <c r="N6" s="191"/>
      <c r="O6" s="191"/>
      <c r="P6" s="286"/>
    </row>
    <row r="7" spans="1:17" ht="12.5">
      <c r="A7" s="60" t="s">
        <v>184</v>
      </c>
      <c r="B7" s="287" t="str">
        <f>HYPERLINK("http://codeforces.com/contest/677/problem/A","CF677-D2-A")</f>
        <v>CF677-D2-A</v>
      </c>
      <c r="C7" s="67"/>
      <c r="D7" s="67"/>
      <c r="E7" s="67"/>
      <c r="F7" s="67"/>
      <c r="G7" s="67"/>
      <c r="H7" s="67"/>
      <c r="I7" s="36">
        <f t="shared" ref="I7:I261" si="0">SUM(E7:H7)</f>
        <v>0</v>
      </c>
      <c r="J7" s="36"/>
      <c r="K7" s="36"/>
      <c r="L7" s="36"/>
      <c r="M7" s="288" t="str">
        <f>HYPERLINK("http://codeforces.com/contest/677/submission/18185361","C++ Solution Example")</f>
        <v>C++ Solution Example</v>
      </c>
      <c r="N7" s="191" t="s">
        <v>1236</v>
      </c>
      <c r="O7" s="191">
        <v>1</v>
      </c>
      <c r="P7" s="286">
        <v>0.5</v>
      </c>
    </row>
    <row r="8" spans="1:17" ht="12.5">
      <c r="A8" s="60" t="s">
        <v>186</v>
      </c>
      <c r="B8" s="287" t="str">
        <f>HYPERLINK("http://codeforces.com/contest/734/problem/A","CF734-D2-A")</f>
        <v>CF734-D2-A</v>
      </c>
      <c r="C8" s="67"/>
      <c r="D8" s="67"/>
      <c r="E8" s="67"/>
      <c r="F8" s="67"/>
      <c r="G8" s="67"/>
      <c r="H8" s="67"/>
      <c r="I8" s="36">
        <f t="shared" si="0"/>
        <v>0</v>
      </c>
      <c r="J8" s="36"/>
      <c r="K8" s="36"/>
      <c r="L8" s="36"/>
      <c r="M8" s="289" t="str">
        <f>HYPERLINK("http://codeforces.com/blog/entry/48397","This is from Round 379. Here is the editorial")</f>
        <v>This is from Round 379. Here is the editorial</v>
      </c>
      <c r="N8" s="191" t="s">
        <v>1236</v>
      </c>
      <c r="O8" s="191">
        <v>1</v>
      </c>
      <c r="P8" s="286">
        <v>0.6</v>
      </c>
    </row>
    <row r="9" spans="1:17" ht="12.5">
      <c r="A9" s="60" t="s">
        <v>193</v>
      </c>
      <c r="B9" s="287" t="str">
        <f>HYPERLINK("http://codeforces.com/contest/112/problem/A","CF112-D2-A")</f>
        <v>CF112-D2-A</v>
      </c>
      <c r="C9" s="67"/>
      <c r="D9" s="67"/>
      <c r="E9" s="67"/>
      <c r="F9" s="67"/>
      <c r="G9" s="67"/>
      <c r="H9" s="67"/>
      <c r="I9" s="36">
        <f t="shared" si="0"/>
        <v>0</v>
      </c>
      <c r="J9" s="67"/>
      <c r="K9" s="36"/>
      <c r="L9" s="67"/>
      <c r="M9" s="290" t="str">
        <f>HYPERLINK("https://www.youtube.com/watch?v=Sp4zWrDvGrk","Video Solution - Solver to be (Java)")</f>
        <v>Video Solution - Solver to be (Java)</v>
      </c>
      <c r="N9" s="191" t="s">
        <v>1236</v>
      </c>
      <c r="O9" s="191">
        <v>1</v>
      </c>
      <c r="P9" s="286">
        <v>1</v>
      </c>
    </row>
    <row r="10" spans="1:17" ht="12.5">
      <c r="A10" s="60" t="s">
        <v>204</v>
      </c>
      <c r="B10" s="287" t="str">
        <f>HYPERLINK("http://codeforces.com/contest/228/problem/A","CF228-D2-A")</f>
        <v>CF228-D2-A</v>
      </c>
      <c r="C10" s="67"/>
      <c r="D10" s="67"/>
      <c r="E10" s="67"/>
      <c r="F10" s="67"/>
      <c r="G10" s="67"/>
      <c r="H10" s="67"/>
      <c r="I10" s="36">
        <f t="shared" si="0"/>
        <v>0</v>
      </c>
      <c r="J10" s="36"/>
      <c r="K10" s="36"/>
      <c r="L10" s="36"/>
      <c r="M10" s="54" t="str">
        <f>HYPERLINK("https://www.youtube.com/watch?v=O0zvnXeQis4&amp;app=desktop#_=_","Video Solution - Eng Ahmead Raafat (Python)")</f>
        <v>Video Solution - Eng Ahmead Raafat (Python)</v>
      </c>
      <c r="N10" s="191" t="s">
        <v>1236</v>
      </c>
      <c r="O10" s="191">
        <v>1</v>
      </c>
      <c r="P10" s="286">
        <v>1</v>
      </c>
    </row>
    <row r="11" spans="1:17" ht="12.5">
      <c r="A11" s="60" t="s">
        <v>190</v>
      </c>
      <c r="B11" s="287" t="str">
        <f>HYPERLINK("http://codeforces.com/contest/231/problem/A","CF231-D2-A")</f>
        <v>CF231-D2-A</v>
      </c>
      <c r="C11" s="67"/>
      <c r="D11" s="67"/>
      <c r="E11" s="67"/>
      <c r="F11" s="67"/>
      <c r="G11" s="67"/>
      <c r="H11" s="67"/>
      <c r="I11" s="36">
        <f t="shared" si="0"/>
        <v>0</v>
      </c>
      <c r="J11" s="36"/>
      <c r="K11" s="36"/>
      <c r="L11" s="36"/>
      <c r="M11" s="54" t="str">
        <f>HYPERLINK("https://www.youtube.com/watch?v=P73Mv_GG_PY","Video Solution - Eng Youssef Ali")</f>
        <v>Video Solution - Eng Youssef Ali</v>
      </c>
      <c r="N11" s="191" t="s">
        <v>1236</v>
      </c>
      <c r="O11" s="191">
        <v>1</v>
      </c>
      <c r="P11" s="286">
        <v>1</v>
      </c>
    </row>
    <row r="12" spans="1:17" ht="12.5">
      <c r="A12" s="60" t="s">
        <v>194</v>
      </c>
      <c r="B12" s="287" t="str">
        <f>HYPERLINK("http://codeforces.com/contest/236/problem/A","CF236-D2-A")</f>
        <v>CF236-D2-A</v>
      </c>
      <c r="C12" s="67"/>
      <c r="D12" s="67"/>
      <c r="E12" s="67"/>
      <c r="F12" s="67"/>
      <c r="G12" s="67"/>
      <c r="H12" s="67"/>
      <c r="I12" s="36">
        <f t="shared" si="0"/>
        <v>0</v>
      </c>
      <c r="J12" s="67"/>
      <c r="K12" s="36"/>
      <c r="L12" s="67"/>
      <c r="M12" s="290" t="str">
        <f>HYPERLINK("https://www.youtube.com/watch?v=AOOmuJXMyHQ","Video Solution - Solver to be (Java)")</f>
        <v>Video Solution - Solver to be (Java)</v>
      </c>
      <c r="N12" s="191" t="s">
        <v>1236</v>
      </c>
      <c r="O12" s="191">
        <v>1</v>
      </c>
      <c r="P12" s="286">
        <v>1</v>
      </c>
    </row>
    <row r="13" spans="1:17" ht="12.5">
      <c r="A13" s="60" t="s">
        <v>191</v>
      </c>
      <c r="B13" s="287" t="str">
        <f>HYPERLINK("http://codeforces.com/contest/263/problem/A","CF263-D2-A")</f>
        <v>CF263-D2-A</v>
      </c>
      <c r="C13" s="67"/>
      <c r="D13" s="67"/>
      <c r="E13" s="67"/>
      <c r="F13" s="67"/>
      <c r="G13" s="67"/>
      <c r="H13" s="67"/>
      <c r="I13" s="36">
        <f t="shared" si="0"/>
        <v>0</v>
      </c>
      <c r="J13" s="36"/>
      <c r="K13" s="36"/>
      <c r="L13" s="36"/>
      <c r="M13" s="54" t="str">
        <f>HYPERLINK("https://www.youtube.com/watch?v=FU4thrvEvKg","Video Solution - Eng Samed Hajajla")</f>
        <v>Video Solution - Eng Samed Hajajla</v>
      </c>
      <c r="N13" s="191" t="s">
        <v>1236</v>
      </c>
      <c r="O13" s="191">
        <v>1</v>
      </c>
      <c r="P13" s="286">
        <v>1</v>
      </c>
    </row>
    <row r="14" spans="1:17" ht="12.5">
      <c r="A14" s="60" t="s">
        <v>205</v>
      </c>
      <c r="B14" s="287" t="str">
        <f>HYPERLINK("http://codeforces.com/contest/265/problem/A","CF265-D2-A")</f>
        <v>CF265-D2-A</v>
      </c>
      <c r="C14" s="67"/>
      <c r="D14" s="67"/>
      <c r="E14" s="67"/>
      <c r="F14" s="67"/>
      <c r="G14" s="67"/>
      <c r="H14" s="67"/>
      <c r="I14" s="36">
        <f t="shared" si="0"/>
        <v>0</v>
      </c>
      <c r="J14" s="36"/>
      <c r="K14" s="36"/>
      <c r="L14" s="36"/>
      <c r="M14" s="54" t="str">
        <f>HYPERLINK("https://www.youtube.com/watch?v=ol_mjArjBCk","Video Solution - Eng Ahmead Raafat (Python)")</f>
        <v>Video Solution - Eng Ahmead Raafat (Python)</v>
      </c>
      <c r="N14" s="191" t="s">
        <v>1236</v>
      </c>
      <c r="O14" s="191">
        <v>1</v>
      </c>
      <c r="P14" s="286">
        <v>1</v>
      </c>
    </row>
    <row r="15" spans="1:17" ht="12.5">
      <c r="A15" s="60" t="s">
        <v>198</v>
      </c>
      <c r="B15" s="287" t="str">
        <f>HYPERLINK("http://codeforces.com/contest/266/problem/A","CF266-D2-A")</f>
        <v>CF266-D2-A</v>
      </c>
      <c r="C15" s="67"/>
      <c r="D15" s="67"/>
      <c r="E15" s="67"/>
      <c r="F15" s="67"/>
      <c r="G15" s="67"/>
      <c r="H15" s="67"/>
      <c r="I15" s="36">
        <f t="shared" si="0"/>
        <v>0</v>
      </c>
      <c r="J15" s="36"/>
      <c r="K15" s="36"/>
      <c r="L15" s="36"/>
      <c r="M15" s="54" t="str">
        <f>HYPERLINK("https://www.youtube.com/watch?v=3akdDnmPwOY&amp;feature=youtu.be","Video Solution - Eng Ahmead Raafat (Python)")</f>
        <v>Video Solution - Eng Ahmead Raafat (Python)</v>
      </c>
      <c r="N15" s="191" t="s">
        <v>1236</v>
      </c>
      <c r="O15" s="191">
        <v>1</v>
      </c>
      <c r="P15" s="286">
        <v>1</v>
      </c>
    </row>
    <row r="16" spans="1:17" ht="12.5">
      <c r="A16" s="60" t="s">
        <v>202</v>
      </c>
      <c r="B16" s="287" t="str">
        <f>HYPERLINK("http://codeforces.com/contest/268/problem/A","CF268-D2-A")</f>
        <v>CF268-D2-A</v>
      </c>
      <c r="C16" s="67"/>
      <c r="D16" s="67"/>
      <c r="E16" s="67"/>
      <c r="F16" s="67"/>
      <c r="G16" s="67"/>
      <c r="H16" s="67"/>
      <c r="I16" s="36">
        <f t="shared" si="0"/>
        <v>0</v>
      </c>
      <c r="J16" s="36"/>
      <c r="K16" s="36"/>
      <c r="L16" s="36"/>
      <c r="M16" s="54" t="str">
        <f>HYPERLINK("https://www.youtube.com/watch?v=lFt2GuQtmSs","Video Solution - Eng Yahia Ashraf")</f>
        <v>Video Solution - Eng Yahia Ashraf</v>
      </c>
      <c r="N16" s="191" t="s">
        <v>1236</v>
      </c>
      <c r="O16" s="191">
        <v>1</v>
      </c>
      <c r="P16" s="286">
        <v>1</v>
      </c>
    </row>
    <row r="17" spans="1:16" ht="12.5">
      <c r="A17" s="60" t="s">
        <v>277</v>
      </c>
      <c r="B17" s="287" t="str">
        <f>HYPERLINK("http://codeforces.com/contest/281/problem/A","CF281-D2-A")</f>
        <v>CF281-D2-A</v>
      </c>
      <c r="C17" s="67"/>
      <c r="D17" s="67"/>
      <c r="E17" s="67"/>
      <c r="F17" s="67"/>
      <c r="G17" s="67"/>
      <c r="H17" s="67"/>
      <c r="I17" s="36">
        <f t="shared" si="0"/>
        <v>0</v>
      </c>
      <c r="J17" s="67"/>
      <c r="K17" s="36"/>
      <c r="L17" s="67"/>
      <c r="M17" s="146" t="str">
        <f>HYPERLINK("https://www.youtube.com/watch?v=GctpZIJ8xBA","Video Solution - Solver to be (Java)")</f>
        <v>Video Solution - Solver to be (Java)</v>
      </c>
      <c r="N17" s="191" t="s">
        <v>1236</v>
      </c>
      <c r="O17" s="191">
        <v>1</v>
      </c>
      <c r="P17" s="286">
        <v>1</v>
      </c>
    </row>
    <row r="18" spans="1:16" ht="12.5">
      <c r="A18" s="60" t="s">
        <v>196</v>
      </c>
      <c r="B18" s="287" t="str">
        <f>HYPERLINK("http://codeforces.com/contest/344/problem/A","CF344-D2-A")</f>
        <v>CF344-D2-A</v>
      </c>
      <c r="C18" s="67"/>
      <c r="D18" s="67"/>
      <c r="E18" s="67"/>
      <c r="F18" s="67"/>
      <c r="G18" s="67"/>
      <c r="H18" s="67"/>
      <c r="I18" s="36">
        <f t="shared" si="0"/>
        <v>0</v>
      </c>
      <c r="J18" s="67"/>
      <c r="K18" s="36"/>
      <c r="L18" s="67"/>
      <c r="M18" s="146" t="str">
        <f>HYPERLINK("https://www.youtube.com/watch?v=7o7lZTKFzp0","Video Solution - Solver to be (Java)")</f>
        <v>Video Solution - Solver to be (Java)</v>
      </c>
      <c r="N18" s="191" t="s">
        <v>1236</v>
      </c>
      <c r="O18" s="191">
        <v>1</v>
      </c>
      <c r="P18" s="286">
        <v>1</v>
      </c>
    </row>
    <row r="19" spans="1:16" ht="12.5">
      <c r="A19" s="60" t="s">
        <v>197</v>
      </c>
      <c r="B19" s="287" t="str">
        <f>HYPERLINK("http://codeforces.com/contest/381/problem/A","CF381-D2-A")</f>
        <v>CF381-D2-A</v>
      </c>
      <c r="C19" s="67"/>
      <c r="D19" s="67"/>
      <c r="E19" s="67"/>
      <c r="F19" s="67"/>
      <c r="G19" s="67"/>
      <c r="H19" s="67"/>
      <c r="I19" s="36">
        <f t="shared" si="0"/>
        <v>0</v>
      </c>
      <c r="J19" s="67"/>
      <c r="K19" s="36"/>
      <c r="L19" s="67"/>
      <c r="M19" s="291" t="str">
        <f>HYPERLINK("https://www.youtube.com/watch?v=XgJ0DS3r_KE","Video Solution - Solver to be (Java)")</f>
        <v>Video Solution - Solver to be (Java)</v>
      </c>
      <c r="N19" s="191" t="s">
        <v>1236</v>
      </c>
      <c r="O19" s="191">
        <v>1</v>
      </c>
      <c r="P19" s="286">
        <v>1</v>
      </c>
    </row>
    <row r="20" spans="1:16" ht="12.5">
      <c r="A20" s="60" t="s">
        <v>192</v>
      </c>
      <c r="B20" s="287" t="str">
        <f>HYPERLINK("http://codeforces.com/contest/405/problem/A","CF405-D2-A")</f>
        <v>CF405-D2-A</v>
      </c>
      <c r="C20" s="67"/>
      <c r="D20" s="67"/>
      <c r="E20" s="67"/>
      <c r="F20" s="67"/>
      <c r="G20" s="67"/>
      <c r="H20" s="67"/>
      <c r="I20" s="36">
        <f t="shared" si="0"/>
        <v>0</v>
      </c>
      <c r="J20" s="67"/>
      <c r="K20" s="36"/>
      <c r="L20" s="67"/>
      <c r="M20" s="292" t="str">
        <f>HYPERLINK("https://www.youtube.com/watch?v=HNe9QW-1MJI","Video Solution - Eng John Gamal")</f>
        <v>Video Solution - Eng John Gamal</v>
      </c>
      <c r="N20" s="191" t="s">
        <v>1236</v>
      </c>
      <c r="O20" s="191">
        <v>1</v>
      </c>
      <c r="P20" s="286">
        <v>1</v>
      </c>
    </row>
    <row r="21" spans="1:16" ht="12.5">
      <c r="A21" s="60" t="s">
        <v>199</v>
      </c>
      <c r="B21" s="287" t="str">
        <f>HYPERLINK("http://codeforces.com/contest/427/problem/A","CF427-D2-A")</f>
        <v>CF427-D2-A</v>
      </c>
      <c r="C21" s="67"/>
      <c r="D21" s="67"/>
      <c r="E21" s="67"/>
      <c r="F21" s="67"/>
      <c r="G21" s="67"/>
      <c r="H21" s="67"/>
      <c r="I21" s="36">
        <f t="shared" si="0"/>
        <v>0</v>
      </c>
      <c r="J21" s="36"/>
      <c r="K21" s="36"/>
      <c r="L21" s="36"/>
      <c r="M21" s="54" t="str">
        <f>HYPERLINK("https://www.youtube.com/watch?v=PECOLs3YWR0&amp;feature=youtu.be","Video Solution - Eng Ahmead Raafat (Python)")</f>
        <v>Video Solution - Eng Ahmead Raafat (Python)</v>
      </c>
      <c r="N21" s="191" t="s">
        <v>1236</v>
      </c>
      <c r="O21" s="191">
        <v>1</v>
      </c>
      <c r="P21" s="286">
        <v>1</v>
      </c>
    </row>
    <row r="22" spans="1:16" ht="12.5">
      <c r="A22" s="60" t="s">
        <v>200</v>
      </c>
      <c r="B22" s="287" t="str">
        <f>HYPERLINK("http://codeforces.com/contest/431/problem/A","CF431-D2-A")</f>
        <v>CF431-D2-A</v>
      </c>
      <c r="C22" s="67"/>
      <c r="D22" s="67"/>
      <c r="E22" s="67"/>
      <c r="F22" s="67"/>
      <c r="G22" s="67"/>
      <c r="H22" s="67"/>
      <c r="I22" s="36">
        <f t="shared" si="0"/>
        <v>0</v>
      </c>
      <c r="J22" s="36"/>
      <c r="K22" s="36"/>
      <c r="L22" s="36"/>
      <c r="M22" s="54" t="str">
        <f>HYPERLINK("https://www.youtube.com/watch?v=mJYiMoX4t0k","Video Solution - Eng Ahmead Raafat (Python)")</f>
        <v>Video Solution - Eng Ahmead Raafat (Python)</v>
      </c>
      <c r="N22" s="191" t="s">
        <v>1236</v>
      </c>
      <c r="O22" s="191">
        <v>1</v>
      </c>
      <c r="P22" s="286">
        <v>1</v>
      </c>
    </row>
    <row r="23" spans="1:16" ht="12.5">
      <c r="A23" s="60" t="s">
        <v>195</v>
      </c>
      <c r="B23" s="287" t="str">
        <f>HYPERLINK("http://codeforces.com/contest/59/problem/A","CF59-D2-A")</f>
        <v>CF59-D2-A</v>
      </c>
      <c r="C23" s="67"/>
      <c r="D23" s="67"/>
      <c r="E23" s="67"/>
      <c r="F23" s="67"/>
      <c r="G23" s="67"/>
      <c r="H23" s="67"/>
      <c r="I23" s="36">
        <f t="shared" si="0"/>
        <v>0</v>
      </c>
      <c r="J23" s="67"/>
      <c r="K23" s="36"/>
      <c r="L23" s="67"/>
      <c r="M23" s="290" t="str">
        <f>HYPERLINK("https://www.youtube.com/watch?v=gW8YOQbMdDI","Video Solution - Solver to be (Java)")</f>
        <v>Video Solution - Solver to be (Java)</v>
      </c>
      <c r="N23" s="191" t="s">
        <v>1236</v>
      </c>
      <c r="O23" s="191">
        <v>1</v>
      </c>
      <c r="P23" s="286">
        <v>1</v>
      </c>
    </row>
    <row r="24" spans="1:16" ht="12.5">
      <c r="A24" s="60" t="s">
        <v>201</v>
      </c>
      <c r="B24" s="287" t="str">
        <f>HYPERLINK("http://codeforces.com/contest/731/problem/A","CF731-D2-A")</f>
        <v>CF731-D2-A</v>
      </c>
      <c r="C24" s="67"/>
      <c r="D24" s="67"/>
      <c r="E24" s="67"/>
      <c r="F24" s="67"/>
      <c r="G24" s="67"/>
      <c r="H24" s="67"/>
      <c r="I24" s="36">
        <f t="shared" si="0"/>
        <v>0</v>
      </c>
      <c r="J24" s="36"/>
      <c r="K24" s="36"/>
      <c r="L24" s="36"/>
      <c r="M24" s="54" t="str">
        <f>HYPERLINK("https://www.youtube.com/watch?v=pBhXYZKAFTM","Video Solution - Eng Yahia Ashraf")</f>
        <v>Video Solution - Eng Yahia Ashraf</v>
      </c>
      <c r="N24" s="191" t="s">
        <v>1236</v>
      </c>
      <c r="O24" s="191">
        <v>1</v>
      </c>
      <c r="P24" s="286">
        <v>1</v>
      </c>
    </row>
    <row r="25" spans="1:16" ht="12.5">
      <c r="A25" s="60" t="s">
        <v>203</v>
      </c>
      <c r="B25" s="287" t="str">
        <f>HYPERLINK("http://codeforces.com/contest/732/problem/A","CF732-D2-A")</f>
        <v>CF732-D2-A</v>
      </c>
      <c r="C25" s="67"/>
      <c r="D25" s="67"/>
      <c r="E25" s="67"/>
      <c r="F25" s="67"/>
      <c r="G25" s="67"/>
      <c r="H25" s="67"/>
      <c r="I25" s="36">
        <f t="shared" si="0"/>
        <v>0</v>
      </c>
      <c r="J25" s="36"/>
      <c r="K25" s="36"/>
      <c r="L25" s="36"/>
      <c r="M25" s="54" t="str">
        <f>HYPERLINK("https://www.youtube.com/watch?v=jKOSPuoplz0","Video Solution - Eng Yahia Ashraf")</f>
        <v>Video Solution - Eng Yahia Ashraf</v>
      </c>
      <c r="N25" s="191" t="s">
        <v>1236</v>
      </c>
      <c r="O25" s="191">
        <v>1</v>
      </c>
      <c r="P25" s="286">
        <v>1</v>
      </c>
    </row>
    <row r="26" spans="1:16" ht="12.5">
      <c r="A26" s="60" t="s">
        <v>189</v>
      </c>
      <c r="B26" s="287" t="str">
        <f>HYPERLINK("codeforces.com/contest/791/problem/A","CF791-D2-A")</f>
        <v>CF791-D2-A</v>
      </c>
      <c r="C26" s="67"/>
      <c r="D26" s="67"/>
      <c r="E26" s="67"/>
      <c r="F26" s="67"/>
      <c r="G26" s="67"/>
      <c r="H26" s="67"/>
      <c r="I26" s="36">
        <f t="shared" si="0"/>
        <v>0</v>
      </c>
      <c r="J26" s="36"/>
      <c r="K26" s="36"/>
      <c r="L26" s="36"/>
      <c r="M26" s="54" t="str">
        <f>HYPERLINK("https://www.youtube.com/watch?v=t05qYeiWGGc","Video Solution - Eng Youssef El Ghareeb")</f>
        <v>Video Solution - Eng Youssef El Ghareeb</v>
      </c>
      <c r="N26" s="191" t="s">
        <v>1236</v>
      </c>
      <c r="O26" s="191">
        <v>1</v>
      </c>
      <c r="P26" s="286">
        <v>1</v>
      </c>
    </row>
    <row r="27" spans="1:16" ht="12.5">
      <c r="A27" s="60" t="s">
        <v>256</v>
      </c>
      <c r="B27" s="287" t="str">
        <f>HYPERLINK("http://codeforces.com/contest/365/problem/A","CF365-D2-A")</f>
        <v>CF365-D2-A</v>
      </c>
      <c r="C27" s="67"/>
      <c r="D27" s="67"/>
      <c r="E27" s="67"/>
      <c r="F27" s="67"/>
      <c r="G27" s="67"/>
      <c r="H27" s="67"/>
      <c r="I27" s="36">
        <f t="shared" si="0"/>
        <v>0</v>
      </c>
      <c r="J27" s="93"/>
      <c r="K27" s="36"/>
      <c r="L27" s="93"/>
      <c r="M27" s="293" t="str">
        <f>HYPERLINK("https://www.youtube.com/watch?v=W5SLLnni1KM&amp;feature=youtu.be","Video Solution - Eng Muntaser Abukadeja")</f>
        <v>Video Solution - Eng Muntaser Abukadeja</v>
      </c>
      <c r="N27" s="286" t="s">
        <v>1237</v>
      </c>
      <c r="O27" s="286">
        <v>1</v>
      </c>
      <c r="P27" s="191">
        <v>1.5</v>
      </c>
    </row>
    <row r="28" spans="1:16" ht="12.5">
      <c r="A28" s="60" t="s">
        <v>267</v>
      </c>
      <c r="B28" s="287" t="str">
        <f>HYPERLINK("http://codeforces.com/contest/298/problem/A","CF298-D2-A")</f>
        <v>CF298-D2-A</v>
      </c>
      <c r="C28" s="67"/>
      <c r="D28" s="67"/>
      <c r="E28" s="67"/>
      <c r="F28" s="67"/>
      <c r="G28" s="67"/>
      <c r="H28" s="67"/>
      <c r="I28" s="36">
        <f t="shared" si="0"/>
        <v>0</v>
      </c>
      <c r="J28" s="67"/>
      <c r="K28" s="36"/>
      <c r="L28" s="67"/>
      <c r="M28" s="294" t="str">
        <f>HYPERLINK("https://www.youtube.com/watch?v=oX_hPHnYgMA","Video Solution - Dr Mostafa Saad")</f>
        <v>Video Solution - Dr Mostafa Saad</v>
      </c>
      <c r="N28" s="286" t="s">
        <v>1237</v>
      </c>
      <c r="O28" s="286">
        <v>1</v>
      </c>
      <c r="P28" s="191">
        <v>1.5</v>
      </c>
    </row>
    <row r="29" spans="1:16" ht="12.5">
      <c r="A29" s="60" t="s">
        <v>283</v>
      </c>
      <c r="B29" s="287" t="str">
        <f>HYPERLINK("http://codeforces.com/contest/118/problem/A","CF118-D2-A")</f>
        <v>CF118-D2-A</v>
      </c>
      <c r="C29" s="67"/>
      <c r="D29" s="67"/>
      <c r="E29" s="67"/>
      <c r="F29" s="67"/>
      <c r="G29" s="67"/>
      <c r="H29" s="67"/>
      <c r="I29" s="36">
        <f t="shared" si="0"/>
        <v>0</v>
      </c>
      <c r="J29" s="67"/>
      <c r="K29" s="36"/>
      <c r="L29" s="67"/>
      <c r="M29" s="290" t="str">
        <f>HYPERLINK("https://www.youtube.com/watch?v=fiYo2lKksN0","Video Solution - Solver to be (Java)")</f>
        <v>Video Solution - Solver to be (Java)</v>
      </c>
      <c r="N29" s="191" t="s">
        <v>1236</v>
      </c>
      <c r="O29" s="191">
        <v>1</v>
      </c>
      <c r="P29" s="286">
        <v>1.5</v>
      </c>
    </row>
    <row r="30" spans="1:16" ht="12.5">
      <c r="A30" s="60" t="s">
        <v>222</v>
      </c>
      <c r="B30" s="287" t="str">
        <f>HYPERLINK("http://codeforces.com/contest/136/problem/A","CF136-D2-A")</f>
        <v>CF136-D2-A</v>
      </c>
      <c r="C30" s="67"/>
      <c r="D30" s="67"/>
      <c r="E30" s="67"/>
      <c r="F30" s="67"/>
      <c r="G30" s="67"/>
      <c r="H30" s="67"/>
      <c r="I30" s="36">
        <f t="shared" si="0"/>
        <v>0</v>
      </c>
      <c r="J30" s="67"/>
      <c r="K30" s="36"/>
      <c r="L30" s="67"/>
      <c r="M30" s="295" t="str">
        <f>HYPERLINK("https://www.youtube.com/watch?v=MduaJDmo7RU","Video Solution - Eng Ahmed Rafaat (Python)")</f>
        <v>Video Solution - Eng Ahmed Rafaat (Python)</v>
      </c>
      <c r="N30" s="191" t="s">
        <v>1236</v>
      </c>
      <c r="O30" s="191">
        <v>1</v>
      </c>
      <c r="P30" s="286">
        <v>1.5</v>
      </c>
    </row>
    <row r="31" spans="1:16" ht="12.5">
      <c r="A31" s="60" t="s">
        <v>278</v>
      </c>
      <c r="B31" s="287" t="str">
        <f>HYPERLINK("http://codeforces.com/contest/158/problem/A","CF158-D12-A")</f>
        <v>CF158-D12-A</v>
      </c>
      <c r="C31" s="67"/>
      <c r="D31" s="67"/>
      <c r="E31" s="67"/>
      <c r="F31" s="67"/>
      <c r="G31" s="67"/>
      <c r="H31" s="67"/>
      <c r="I31" s="36">
        <f t="shared" si="0"/>
        <v>0</v>
      </c>
      <c r="J31" s="67"/>
      <c r="K31" s="36"/>
      <c r="L31" s="67"/>
      <c r="M31" s="290" t="str">
        <f>HYPERLINK("https://www.youtube.com/watch?v=jwF2F5D8j9o","Video Solution - Solver to be (Java)")</f>
        <v>Video Solution - Solver to be (Java)</v>
      </c>
      <c r="N31" s="191" t="s">
        <v>1236</v>
      </c>
      <c r="O31" s="191">
        <v>1</v>
      </c>
      <c r="P31" s="286">
        <v>1.5</v>
      </c>
    </row>
    <row r="32" spans="1:16" ht="12.5">
      <c r="A32" s="60" t="s">
        <v>228</v>
      </c>
      <c r="B32" s="287" t="str">
        <f>HYPERLINK("http://codeforces.com/contest/160/problem/A","CF160-D2-A")</f>
        <v>CF160-D2-A</v>
      </c>
      <c r="C32" s="67"/>
      <c r="D32" s="67"/>
      <c r="E32" s="67"/>
      <c r="F32" s="67"/>
      <c r="G32" s="67"/>
      <c r="H32" s="67"/>
      <c r="I32" s="36">
        <f t="shared" si="0"/>
        <v>0</v>
      </c>
      <c r="J32" s="67"/>
      <c r="K32" s="36"/>
      <c r="L32" s="67"/>
      <c r="M32" s="296" t="str">
        <f>HYPERLINK("https://www.youtube.com/watch?v=V6fh3b50nX8","Video Solution - Solver to be (Java)")</f>
        <v>Video Solution - Solver to be (Java)</v>
      </c>
      <c r="N32" s="191" t="s">
        <v>1236</v>
      </c>
      <c r="O32" s="191">
        <v>1</v>
      </c>
      <c r="P32" s="286">
        <v>1.5</v>
      </c>
    </row>
    <row r="33" spans="1:16" ht="12.5">
      <c r="A33" s="60" t="s">
        <v>242</v>
      </c>
      <c r="B33" s="287" t="str">
        <f>HYPERLINK("http://codeforces.com/contest/208/problem/A","CF208-D2-A")</f>
        <v>CF208-D2-A</v>
      </c>
      <c r="C33" s="67"/>
      <c r="D33" s="67"/>
      <c r="E33" s="67"/>
      <c r="F33" s="67"/>
      <c r="G33" s="67"/>
      <c r="H33" s="67"/>
      <c r="I33" s="36">
        <f t="shared" si="0"/>
        <v>0</v>
      </c>
      <c r="J33" s="67"/>
      <c r="K33" s="36"/>
      <c r="L33" s="67"/>
      <c r="M33" s="290" t="str">
        <f>HYPERLINK("https://www.youtube.com/watch?v=M4umpd8utSA","Video Solution - Solver to be (Java)")</f>
        <v>Video Solution - Solver to be (Java)</v>
      </c>
      <c r="N33" s="191" t="s">
        <v>1236</v>
      </c>
      <c r="O33" s="191">
        <v>1</v>
      </c>
      <c r="P33" s="286">
        <v>1.5</v>
      </c>
    </row>
    <row r="34" spans="1:16" ht="12.5">
      <c r="A34" s="60" t="s">
        <v>259</v>
      </c>
      <c r="B34" s="287" t="str">
        <f>HYPERLINK("http://codeforces.com/contest/218/problem/A","CF218-D2-A")</f>
        <v>CF218-D2-A</v>
      </c>
      <c r="C34" s="67"/>
      <c r="D34" s="67"/>
      <c r="E34" s="67"/>
      <c r="F34" s="67"/>
      <c r="G34" s="67"/>
      <c r="H34" s="67"/>
      <c r="I34" s="36">
        <f t="shared" si="0"/>
        <v>0</v>
      </c>
      <c r="J34" s="93"/>
      <c r="K34" s="36"/>
      <c r="L34" s="93"/>
      <c r="M34" s="293" t="str">
        <f>HYPERLINK("https://www.youtube.com/watch?v=qmGhxFPv5GI&amp;feature=youtu.be","Video Solution - Eng John Gamal")</f>
        <v>Video Solution - Eng John Gamal</v>
      </c>
      <c r="N34" s="191" t="s">
        <v>1236</v>
      </c>
      <c r="O34" s="191">
        <v>1</v>
      </c>
      <c r="P34" s="286">
        <v>1.5</v>
      </c>
    </row>
    <row r="35" spans="1:16" ht="12.5">
      <c r="A35" s="60" t="s">
        <v>257</v>
      </c>
      <c r="B35" s="287" t="str">
        <f>HYPERLINK("http://codeforces.com/contest/225/problem/A","CF225-D2-A")</f>
        <v>CF225-D2-A</v>
      </c>
      <c r="C35" s="67"/>
      <c r="D35" s="67"/>
      <c r="E35" s="67"/>
      <c r="F35" s="67"/>
      <c r="G35" s="67"/>
      <c r="H35" s="67"/>
      <c r="I35" s="36">
        <f t="shared" si="0"/>
        <v>0</v>
      </c>
      <c r="J35" s="93"/>
      <c r="K35" s="36"/>
      <c r="L35" s="93"/>
      <c r="M35" s="293" t="str">
        <f>HYPERLINK("https://www.youtube.com/watch?v=AU4cdWZrKNA&amp;feature=youtu.be","Video Solution - Eng Muntaser Abukadeja")</f>
        <v>Video Solution - Eng Muntaser Abukadeja</v>
      </c>
      <c r="N35" s="191" t="s">
        <v>1236</v>
      </c>
      <c r="O35" s="191">
        <v>1</v>
      </c>
      <c r="P35" s="286">
        <v>1.5</v>
      </c>
    </row>
    <row r="36" spans="1:16" ht="12.5">
      <c r="A36" s="60" t="s">
        <v>253</v>
      </c>
      <c r="B36" s="287" t="str">
        <f>HYPERLINK("http://codeforces.com/contest/270/problem/A","CF270-D2-A")</f>
        <v>CF270-D2-A</v>
      </c>
      <c r="C36" s="67"/>
      <c r="D36" s="67"/>
      <c r="E36" s="67"/>
      <c r="F36" s="67"/>
      <c r="G36" s="67"/>
      <c r="H36" s="67"/>
      <c r="I36" s="36">
        <f t="shared" si="0"/>
        <v>0</v>
      </c>
      <c r="J36" s="67"/>
      <c r="K36" s="36"/>
      <c r="L36" s="67"/>
      <c r="M36" s="137" t="str">
        <f>HYPERLINK("https://www.youtube.com/watch?v=ShgpJWttyxw","Video Solution - Eng Omar Ashraf")</f>
        <v>Video Solution - Eng Omar Ashraf</v>
      </c>
      <c r="N36" s="191" t="s">
        <v>1236</v>
      </c>
      <c r="O36" s="191">
        <v>1</v>
      </c>
      <c r="P36" s="286">
        <v>1.5</v>
      </c>
    </row>
    <row r="37" spans="1:16" ht="12.5">
      <c r="A37" s="60" t="s">
        <v>280</v>
      </c>
      <c r="B37" s="287" t="str">
        <f>HYPERLINK("http://codeforces.com/contest/282/problem/A","CF282-D2-A")</f>
        <v>CF282-D2-A</v>
      </c>
      <c r="C37" s="67"/>
      <c r="D37" s="67"/>
      <c r="E37" s="67"/>
      <c r="F37" s="67"/>
      <c r="G37" s="67"/>
      <c r="H37" s="67"/>
      <c r="I37" s="36">
        <f t="shared" si="0"/>
        <v>0</v>
      </c>
      <c r="J37" s="67"/>
      <c r="K37" s="36"/>
      <c r="L37" s="67"/>
      <c r="M37" s="296" t="str">
        <f>HYPERLINK("https://www.youtube.com/watch?v=5TyT1RIv3wM","Video Solution - Solver to be (Java)")</f>
        <v>Video Solution - Solver to be (Java)</v>
      </c>
      <c r="N37" s="191" t="s">
        <v>1236</v>
      </c>
      <c r="O37" s="191">
        <v>1</v>
      </c>
      <c r="P37" s="286">
        <v>1.5</v>
      </c>
    </row>
    <row r="38" spans="1:16" ht="12.5">
      <c r="A38" s="60" t="s">
        <v>265</v>
      </c>
      <c r="B38" s="287" t="str">
        <f>HYPERLINK("http://codeforces.com/contest/287/problem/A","CF287-D2-A")</f>
        <v>CF287-D2-A</v>
      </c>
      <c r="C38" s="67"/>
      <c r="D38" s="67"/>
      <c r="E38" s="67"/>
      <c r="F38" s="67"/>
      <c r="G38" s="67"/>
      <c r="H38" s="67"/>
      <c r="I38" s="36">
        <f t="shared" si="0"/>
        <v>0</v>
      </c>
      <c r="J38" s="67"/>
      <c r="K38" s="36"/>
      <c r="L38" s="67"/>
      <c r="M38" s="294" t="str">
        <f>HYPERLINK("https://www.youtube.com/watch?v=n7uY7HC4XIM","Video Solution - Dr Mostafa Saad")</f>
        <v>Video Solution - Dr Mostafa Saad</v>
      </c>
      <c r="N38" s="191" t="s">
        <v>1236</v>
      </c>
      <c r="O38" s="191">
        <v>1</v>
      </c>
      <c r="P38" s="286">
        <v>1.5</v>
      </c>
    </row>
    <row r="39" spans="1:16" ht="12.5">
      <c r="A39" s="60" t="s">
        <v>264</v>
      </c>
      <c r="B39" s="287" t="str">
        <f>HYPERLINK("http://codeforces.com/contest/289/problem/A","CF289-D2-A")</f>
        <v>CF289-D2-A</v>
      </c>
      <c r="C39" s="67"/>
      <c r="D39" s="67"/>
      <c r="E39" s="67"/>
      <c r="F39" s="67"/>
      <c r="G39" s="67"/>
      <c r="H39" s="67"/>
      <c r="I39" s="36">
        <f t="shared" si="0"/>
        <v>0</v>
      </c>
      <c r="J39" s="67"/>
      <c r="K39" s="36"/>
      <c r="L39" s="67"/>
      <c r="M39" s="294" t="str">
        <f>HYPERLINK("https://www.youtube.com/watch?v=EjH3kDiEpS0","Video Solution - Dr Mostafa Saad")</f>
        <v>Video Solution - Dr Mostafa Saad</v>
      </c>
      <c r="N39" s="191" t="s">
        <v>1236</v>
      </c>
      <c r="O39" s="191">
        <v>1</v>
      </c>
      <c r="P39" s="286">
        <v>1.5</v>
      </c>
    </row>
    <row r="40" spans="1:16" ht="12.5">
      <c r="A40" s="60" t="s">
        <v>207</v>
      </c>
      <c r="B40" s="287" t="str">
        <f>HYPERLINK("http://codeforces.com/contest/294/problem/A","CF294-D2-A")</f>
        <v>CF294-D2-A</v>
      </c>
      <c r="C40" s="67"/>
      <c r="D40" s="67"/>
      <c r="E40" s="67"/>
      <c r="F40" s="67"/>
      <c r="G40" s="67"/>
      <c r="H40" s="67"/>
      <c r="I40" s="36">
        <f t="shared" si="0"/>
        <v>0</v>
      </c>
      <c r="J40" s="67"/>
      <c r="K40" s="36"/>
      <c r="L40" s="67"/>
      <c r="M40" s="292" t="str">
        <f>HYPERLINK("https://www.youtube.com/watch?v=GOuclkVCvRI","Video Solution - Dr Mostafa Saad")</f>
        <v>Video Solution - Dr Mostafa Saad</v>
      </c>
      <c r="N40" s="191" t="s">
        <v>1236</v>
      </c>
      <c r="O40" s="191">
        <v>1</v>
      </c>
      <c r="P40" s="286">
        <v>1.5</v>
      </c>
    </row>
    <row r="41" spans="1:16" ht="12.5">
      <c r="A41" s="60" t="s">
        <v>266</v>
      </c>
      <c r="B41" s="287" t="str">
        <f>HYPERLINK("http://codeforces.com/contest/296/problem/A","CF296-D2-A")</f>
        <v>CF296-D2-A</v>
      </c>
      <c r="C41" s="67"/>
      <c r="D41" s="67"/>
      <c r="E41" s="67"/>
      <c r="F41" s="67"/>
      <c r="G41" s="67"/>
      <c r="H41" s="67"/>
      <c r="I41" s="36">
        <f t="shared" si="0"/>
        <v>0</v>
      </c>
      <c r="J41" s="67"/>
      <c r="K41" s="36"/>
      <c r="L41" s="67"/>
      <c r="M41" s="294" t="str">
        <f>HYPERLINK("https://www.youtube.com/watch?v=kdgWBRPqMfo","Video Solution - Dr Mostafa Saad")</f>
        <v>Video Solution - Dr Mostafa Saad</v>
      </c>
      <c r="N41" s="191" t="s">
        <v>1236</v>
      </c>
      <c r="O41" s="191">
        <v>1</v>
      </c>
      <c r="P41" s="286">
        <v>1.5</v>
      </c>
    </row>
    <row r="42" spans="1:16" ht="12.5">
      <c r="A42" s="60" t="s">
        <v>236</v>
      </c>
      <c r="B42" s="287" t="str">
        <f>HYPERLINK("http://codeforces.com/contest/318/problem/A","CF318-D2-A")</f>
        <v>CF318-D2-A</v>
      </c>
      <c r="C42" s="67"/>
      <c r="D42" s="67"/>
      <c r="E42" s="67"/>
      <c r="F42" s="67"/>
      <c r="G42" s="67"/>
      <c r="H42" s="67"/>
      <c r="I42" s="36">
        <f t="shared" si="0"/>
        <v>0</v>
      </c>
      <c r="J42" s="67"/>
      <c r="K42" s="36"/>
      <c r="L42" s="67"/>
      <c r="M42" s="297" t="str">
        <f>HYPERLINK("https://www.youtube.com/watch?v=w7gZx99Efzs&amp;feature=youtu.be","Video Solution - Eng Muntaser Abukadeja")</f>
        <v>Video Solution - Eng Muntaser Abukadeja</v>
      </c>
      <c r="N42" s="191" t="s">
        <v>1236</v>
      </c>
      <c r="O42" s="191">
        <v>1</v>
      </c>
      <c r="P42" s="286">
        <v>1.5</v>
      </c>
    </row>
    <row r="43" spans="1:16" ht="12.5">
      <c r="A43" s="60" t="s">
        <v>213</v>
      </c>
      <c r="B43" s="287" t="str">
        <f>HYPERLINK("http://codeforces.com/contest/339/problem/A","CF339-D2-A")</f>
        <v>CF339-D2-A</v>
      </c>
      <c r="C43" s="67"/>
      <c r="D43" s="67"/>
      <c r="E43" s="67"/>
      <c r="F43" s="67"/>
      <c r="G43" s="67"/>
      <c r="H43" s="67"/>
      <c r="I43" s="36">
        <f t="shared" si="0"/>
        <v>0</v>
      </c>
      <c r="J43" s="67"/>
      <c r="K43" s="36"/>
      <c r="L43" s="67"/>
      <c r="M43" s="290" t="str">
        <f>HYPERLINK("https://www.youtube.com/watch?v=NLsyJpkFMz4","Video Solution - Solver to be (Java)")</f>
        <v>Video Solution - Solver to be (Java)</v>
      </c>
      <c r="N43" s="191" t="s">
        <v>1236</v>
      </c>
      <c r="O43" s="191">
        <v>1</v>
      </c>
      <c r="P43" s="286">
        <v>1.5</v>
      </c>
    </row>
    <row r="44" spans="1:16" ht="12.5">
      <c r="A44" s="60" t="s">
        <v>262</v>
      </c>
      <c r="B44" s="287" t="str">
        <f>HYPERLINK("http://codeforces.com/contest/382/problem/A","CF382-D2-A")</f>
        <v>CF382-D2-A</v>
      </c>
      <c r="C44" s="67"/>
      <c r="D44" s="67"/>
      <c r="E44" s="67"/>
      <c r="F44" s="67"/>
      <c r="G44" s="67"/>
      <c r="H44" s="67"/>
      <c r="I44" s="36">
        <f t="shared" si="0"/>
        <v>0</v>
      </c>
      <c r="J44" s="93"/>
      <c r="K44" s="36"/>
      <c r="L44" s="93"/>
      <c r="M44" s="54" t="str">
        <f>HYPERLINK("https://www.youtube.com/watch?v=6xkV-GeRs2o&amp;feature=youtu.be","Video Solution - Eng Samed Hajajla")</f>
        <v>Video Solution - Eng Samed Hajajla</v>
      </c>
      <c r="N44" s="191" t="s">
        <v>1236</v>
      </c>
      <c r="O44" s="191">
        <v>1</v>
      </c>
      <c r="P44" s="286">
        <v>1.5</v>
      </c>
    </row>
    <row r="45" spans="1:16" ht="12.5">
      <c r="A45" s="60" t="s">
        <v>282</v>
      </c>
      <c r="B45" s="287" t="str">
        <f>HYPERLINK("http://codeforces.com/contest/41/problem/A","CF41-D2-A")</f>
        <v>CF41-D2-A</v>
      </c>
      <c r="C45" s="67"/>
      <c r="D45" s="67"/>
      <c r="E45" s="67"/>
      <c r="F45" s="67"/>
      <c r="G45" s="67"/>
      <c r="H45" s="67"/>
      <c r="I45" s="36">
        <f t="shared" si="0"/>
        <v>0</v>
      </c>
      <c r="J45" s="67"/>
      <c r="K45" s="36"/>
      <c r="L45" s="67"/>
      <c r="M45" s="290" t="str">
        <f>HYPERLINK("https://www.youtube.com/watch?v=2rXyyB_2zX8","Video Solution - Solver to be (Java)")</f>
        <v>Video Solution - Solver to be (Java)</v>
      </c>
      <c r="N45" s="191" t="s">
        <v>1236</v>
      </c>
      <c r="O45" s="191">
        <v>1</v>
      </c>
      <c r="P45" s="286">
        <v>1.5</v>
      </c>
    </row>
    <row r="46" spans="1:16" ht="12.5">
      <c r="A46" s="60" t="s">
        <v>240</v>
      </c>
      <c r="B46" s="287" t="str">
        <f>HYPERLINK("http://codeforces.com/contest/43/problem/A","CF43-D2-A")</f>
        <v>CF43-D2-A</v>
      </c>
      <c r="C46" s="67"/>
      <c r="D46" s="67"/>
      <c r="E46" s="67"/>
      <c r="F46" s="67"/>
      <c r="G46" s="67"/>
      <c r="H46" s="67"/>
      <c r="I46" s="36">
        <f t="shared" si="0"/>
        <v>0</v>
      </c>
      <c r="J46" s="67"/>
      <c r="K46" s="36"/>
      <c r="L46" s="67"/>
      <c r="M46" s="290" t="str">
        <f>HYPERLINK("https://www.youtube.com/watch?v=fUOco0Vz584&amp;feature=youtu.be","Video Solution - Eng Belal Abdulnasser (Python)")</f>
        <v>Video Solution - Eng Belal Abdulnasser (Python)</v>
      </c>
      <c r="N46" s="191" t="s">
        <v>1236</v>
      </c>
      <c r="O46" s="191">
        <v>1</v>
      </c>
      <c r="P46" s="286">
        <v>1.5</v>
      </c>
    </row>
    <row r="47" spans="1:16" ht="12.5">
      <c r="A47" s="60" t="s">
        <v>210</v>
      </c>
      <c r="B47" s="287" t="str">
        <f>HYPERLINK("http://codeforces.com/contest/443/problem/A","CF443-D2-A")</f>
        <v>CF443-D2-A</v>
      </c>
      <c r="C47" s="67"/>
      <c r="D47" s="67"/>
      <c r="E47" s="67"/>
      <c r="F47" s="67"/>
      <c r="G47" s="67"/>
      <c r="H47" s="67"/>
      <c r="I47" s="36">
        <f t="shared" si="0"/>
        <v>0</v>
      </c>
      <c r="J47" s="67"/>
      <c r="K47" s="36"/>
      <c r="L47" s="67"/>
      <c r="M47" s="146" t="str">
        <f>HYPERLINK("https://www.youtube.com/watch?v=YXuljSnZaTY","Video Solution - Solver to be (Java)")</f>
        <v>Video Solution - Solver to be (Java)</v>
      </c>
      <c r="N47" s="191" t="s">
        <v>1236</v>
      </c>
      <c r="O47" s="191">
        <v>1</v>
      </c>
      <c r="P47" s="286">
        <v>1.5</v>
      </c>
    </row>
    <row r="48" spans="1:16" ht="12.5">
      <c r="A48" s="60" t="s">
        <v>284</v>
      </c>
      <c r="B48" s="287" t="str">
        <f>HYPERLINK("http://codeforces.com/contest/456/problem/A","CF456-D2-A")</f>
        <v>CF456-D2-A</v>
      </c>
      <c r="C48" s="67"/>
      <c r="D48" s="67"/>
      <c r="E48" s="67"/>
      <c r="F48" s="67"/>
      <c r="G48" s="67"/>
      <c r="H48" s="67"/>
      <c r="I48" s="36">
        <f t="shared" si="0"/>
        <v>0</v>
      </c>
      <c r="J48" s="93"/>
      <c r="K48" s="36"/>
      <c r="L48" s="93"/>
      <c r="M48" s="290" t="str">
        <f>HYPERLINK("https://www.youtube.com/watch?v=_Ab4PUC2vMk","Video Solution - Solver to be (Java)")</f>
        <v>Video Solution - Solver to be (Java)</v>
      </c>
      <c r="N48" s="191" t="s">
        <v>1236</v>
      </c>
      <c r="O48" s="191">
        <v>1</v>
      </c>
      <c r="P48" s="286">
        <v>1.5</v>
      </c>
    </row>
    <row r="49" spans="1:16" ht="12.5">
      <c r="A49" s="60" t="s">
        <v>237</v>
      </c>
      <c r="B49" s="287" t="str">
        <f>HYPERLINK("http://codeforces.com/contest/469/problem/A","CF469-D2-A")</f>
        <v>CF469-D2-A</v>
      </c>
      <c r="C49" s="67"/>
      <c r="D49" s="67"/>
      <c r="E49" s="67"/>
      <c r="F49" s="67"/>
      <c r="G49" s="67"/>
      <c r="H49" s="67"/>
      <c r="I49" s="36">
        <f t="shared" si="0"/>
        <v>0</v>
      </c>
      <c r="J49" s="67"/>
      <c r="K49" s="36"/>
      <c r="L49" s="67"/>
      <c r="M49" s="296" t="str">
        <f>HYPERLINK("https://www.youtube.com/watch?v=MVHuUdj_CWo","Video Solution - Solver to be (Java)")</f>
        <v>Video Solution - Solver to be (Java)</v>
      </c>
      <c r="N49" s="191" t="s">
        <v>1236</v>
      </c>
      <c r="O49" s="191">
        <v>1</v>
      </c>
      <c r="P49" s="286">
        <v>1.5</v>
      </c>
    </row>
    <row r="50" spans="1:16" ht="12.5">
      <c r="A50" s="60" t="s">
        <v>229</v>
      </c>
      <c r="B50" s="287" t="str">
        <f>HYPERLINK("http://codeforces.com/contest/474/problem/A","CF474-D2-A")</f>
        <v>CF474-D2-A</v>
      </c>
      <c r="C50" s="67"/>
      <c r="D50" s="67"/>
      <c r="E50" s="67"/>
      <c r="F50" s="67"/>
      <c r="G50" s="67"/>
      <c r="H50" s="67"/>
      <c r="I50" s="36">
        <f t="shared" si="0"/>
        <v>0</v>
      </c>
      <c r="J50" s="67"/>
      <c r="K50" s="67"/>
      <c r="L50" s="67"/>
      <c r="M50" s="296" t="str">
        <f>HYPERLINK("https://www.youtube.com/watch?v=oFIiCpVI3Ck","Video Solution - Solver to be (Java)")</f>
        <v>Video Solution - Solver to be (Java)</v>
      </c>
      <c r="N50" s="191" t="s">
        <v>1236</v>
      </c>
      <c r="O50" s="191">
        <v>1</v>
      </c>
      <c r="P50" s="286">
        <v>1.5</v>
      </c>
    </row>
    <row r="51" spans="1:16" ht="12.5">
      <c r="A51" s="60" t="s">
        <v>249</v>
      </c>
      <c r="B51" s="287" t="str">
        <f>HYPERLINK("http://codeforces.com/contest/483/problem/A","CF483-D2-A")</f>
        <v>CF483-D2-A</v>
      </c>
      <c r="C51" s="67"/>
      <c r="D51" s="67"/>
      <c r="E51" s="67"/>
      <c r="F51" s="67"/>
      <c r="G51" s="67"/>
      <c r="H51" s="67"/>
      <c r="I51" s="36">
        <f t="shared" si="0"/>
        <v>0</v>
      </c>
      <c r="J51" s="93"/>
      <c r="K51" s="36"/>
      <c r="L51" s="93"/>
      <c r="M51" s="290" t="str">
        <f>HYPERLINK("https://www.youtube.com/watch?v=hWzHWVd9jI8","Video Solution - Solver to be (Java)")</f>
        <v>Video Solution - Solver to be (Java)</v>
      </c>
      <c r="N51" s="191" t="s">
        <v>1236</v>
      </c>
      <c r="O51" s="191">
        <v>1</v>
      </c>
      <c r="P51" s="286">
        <v>1.5</v>
      </c>
    </row>
    <row r="52" spans="1:16" ht="12.5">
      <c r="A52" s="60" t="s">
        <v>245</v>
      </c>
      <c r="B52" s="287" t="str">
        <f>HYPERLINK("http://codeforces.com/contest/486/problem/A","CF486-D2-A")</f>
        <v>CF486-D2-A</v>
      </c>
      <c r="C52" s="67"/>
      <c r="D52" s="67"/>
      <c r="E52" s="67"/>
      <c r="F52" s="67"/>
      <c r="G52" s="67"/>
      <c r="H52" s="67"/>
      <c r="I52" s="36">
        <f t="shared" si="0"/>
        <v>0</v>
      </c>
      <c r="J52" s="67"/>
      <c r="K52" s="36"/>
      <c r="L52" s="67"/>
      <c r="M52" s="290" t="str">
        <f>HYPERLINK("https://www.youtube.com/watch?v=IByiomshI2o","Video Solution - Solver to be (Java)")</f>
        <v>Video Solution - Solver to be (Java)</v>
      </c>
      <c r="N52" s="191" t="s">
        <v>1236</v>
      </c>
      <c r="O52" s="191">
        <v>1</v>
      </c>
      <c r="P52" s="286">
        <v>1.5</v>
      </c>
    </row>
    <row r="53" spans="1:16" ht="12.5">
      <c r="A53" s="60" t="s">
        <v>214</v>
      </c>
      <c r="B53" s="287" t="str">
        <f>HYPERLINK("http://codeforces.com/contest/490/problem/A","CF490-D2-A")</f>
        <v>CF490-D2-A</v>
      </c>
      <c r="C53" s="67"/>
      <c r="D53" s="67"/>
      <c r="E53" s="67"/>
      <c r="F53" s="67"/>
      <c r="G53" s="67"/>
      <c r="H53" s="67"/>
      <c r="I53" s="36">
        <f t="shared" si="0"/>
        <v>0</v>
      </c>
      <c r="J53" s="67"/>
      <c r="K53" s="36"/>
      <c r="L53" s="67"/>
      <c r="M53" s="296" t="str">
        <f>HYPERLINK("https://www.youtube.com/watch?v=2jJA1PCOrgg","Video Solution - Eng Muntaser Abukadeja")</f>
        <v>Video Solution - Eng Muntaser Abukadeja</v>
      </c>
      <c r="N53" s="191" t="s">
        <v>1236</v>
      </c>
      <c r="O53" s="191">
        <v>1</v>
      </c>
      <c r="P53" s="286">
        <v>1.5</v>
      </c>
    </row>
    <row r="54" spans="1:16" ht="12.5">
      <c r="A54" s="60" t="s">
        <v>261</v>
      </c>
      <c r="B54" s="287" t="str">
        <f>HYPERLINK("http://codeforces.com/contest/514/problem/A","CF514-D2-A")</f>
        <v>CF514-D2-A</v>
      </c>
      <c r="C54" s="67"/>
      <c r="D54" s="67"/>
      <c r="E54" s="67"/>
      <c r="F54" s="67"/>
      <c r="G54" s="67"/>
      <c r="H54" s="67"/>
      <c r="I54" s="36">
        <f t="shared" si="0"/>
        <v>0</v>
      </c>
      <c r="J54" s="93"/>
      <c r="K54" s="36"/>
      <c r="L54" s="93"/>
      <c r="M54" s="293" t="str">
        <f>HYPERLINK("https://www.youtube.com/watch?v=wU51frCexTY&amp;feature=youtu.be","Video Solution - Eng Muntaser Abukadeja")</f>
        <v>Video Solution - Eng Muntaser Abukadeja</v>
      </c>
      <c r="N54" s="191" t="s">
        <v>1236</v>
      </c>
      <c r="O54" s="191">
        <v>1</v>
      </c>
      <c r="P54" s="286">
        <v>1.5</v>
      </c>
    </row>
    <row r="55" spans="1:16" ht="12.5">
      <c r="A55" s="60" t="s">
        <v>227</v>
      </c>
      <c r="B55" s="287" t="str">
        <f>HYPERLINK("http://codeforces.com/contest/520/problem/A","CF520-D2-A")</f>
        <v>CF520-D2-A</v>
      </c>
      <c r="C55" s="67"/>
      <c r="D55" s="67"/>
      <c r="E55" s="67"/>
      <c r="F55" s="67"/>
      <c r="G55" s="67"/>
      <c r="H55" s="67"/>
      <c r="I55" s="36">
        <f t="shared" si="0"/>
        <v>0</v>
      </c>
      <c r="J55" s="67"/>
      <c r="K55" s="36"/>
      <c r="L55" s="67"/>
      <c r="M55" s="296" t="str">
        <f>HYPERLINK("https://www.youtube.com/watch?v=TrHCzh7bPRo","Video Solution - Solver to be (Java)")</f>
        <v>Video Solution - Solver to be (Java)</v>
      </c>
      <c r="N55" s="191" t="s">
        <v>1236</v>
      </c>
      <c r="O55" s="191">
        <v>1</v>
      </c>
      <c r="P55" s="286">
        <v>1.5</v>
      </c>
    </row>
    <row r="56" spans="1:16" ht="12.5">
      <c r="A56" s="60" t="s">
        <v>281</v>
      </c>
      <c r="B56" s="287" t="str">
        <f>HYPERLINK("http://codeforces.com/contest/556/problem/A","CF556-D2-A")</f>
        <v>CF556-D2-A</v>
      </c>
      <c r="C56" s="67"/>
      <c r="D56" s="67"/>
      <c r="E56" s="67"/>
      <c r="F56" s="67"/>
      <c r="G56" s="67"/>
      <c r="H56" s="67"/>
      <c r="I56" s="36">
        <f t="shared" si="0"/>
        <v>0</v>
      </c>
      <c r="J56" s="67"/>
      <c r="K56" s="36"/>
      <c r="L56" s="67"/>
      <c r="M56" s="290" t="str">
        <f>HYPERLINK("https://www.youtube.com/watch?v=rud5ZbfjBxg","Video Solution - Solver to be (Java)")</f>
        <v>Video Solution - Solver to be (Java)</v>
      </c>
      <c r="N56" s="191" t="s">
        <v>1236</v>
      </c>
      <c r="O56" s="191">
        <v>1</v>
      </c>
      <c r="P56" s="286">
        <v>1.5</v>
      </c>
    </row>
    <row r="57" spans="1:16" ht="12.5">
      <c r="A57" s="60" t="s">
        <v>223</v>
      </c>
      <c r="B57" s="287" t="str">
        <f>HYPERLINK("http://codeforces.com/contest/567/problem/A","CF567-D2-A")</f>
        <v>CF567-D2-A</v>
      </c>
      <c r="C57" s="67"/>
      <c r="D57" s="67"/>
      <c r="E57" s="67"/>
      <c r="F57" s="67"/>
      <c r="G57" s="67"/>
      <c r="H57" s="67"/>
      <c r="I57" s="36">
        <f t="shared" si="0"/>
        <v>0</v>
      </c>
      <c r="J57" s="67"/>
      <c r="K57" s="36"/>
      <c r="L57" s="67"/>
      <c r="M57" s="295" t="str">
        <f>HYPERLINK("https://www.youtube.com/watch?v=gc4BEAw0pbs&amp;feature=youtu.be","Video Solution - Eng Ahmed Rafaat (Python)")</f>
        <v>Video Solution - Eng Ahmed Rafaat (Python)</v>
      </c>
      <c r="N57" s="191" t="s">
        <v>1236</v>
      </c>
      <c r="O57" s="191">
        <v>1</v>
      </c>
      <c r="P57" s="286">
        <v>1.5</v>
      </c>
    </row>
    <row r="58" spans="1:16" ht="12.5">
      <c r="A58" s="60" t="s">
        <v>268</v>
      </c>
      <c r="B58" s="287" t="str">
        <f>HYPERLINK("http://codeforces.com/contest/579/problem/A","CF579-D2-A")</f>
        <v>CF579-D2-A</v>
      </c>
      <c r="C58" s="67"/>
      <c r="D58" s="67"/>
      <c r="E58" s="67"/>
      <c r="F58" s="67"/>
      <c r="G58" s="67"/>
      <c r="H58" s="67"/>
      <c r="I58" s="36">
        <f t="shared" si="0"/>
        <v>0</v>
      </c>
      <c r="J58" s="67"/>
      <c r="K58" s="36"/>
      <c r="L58" s="67"/>
      <c r="M58" s="295" t="str">
        <f>HYPERLINK("https://www.youtube.com/watch?v=UWMDrh1shXg","Video Solution - Eng Ahmed Rafaat (Python)")</f>
        <v>Video Solution - Eng Ahmed Rafaat (Python)</v>
      </c>
      <c r="N58" s="191" t="s">
        <v>1236</v>
      </c>
      <c r="O58" s="191">
        <v>1</v>
      </c>
      <c r="P58" s="286">
        <v>1.5</v>
      </c>
    </row>
    <row r="59" spans="1:16" ht="12.5">
      <c r="A59" s="60" t="s">
        <v>239</v>
      </c>
      <c r="B59" s="287" t="str">
        <f>HYPERLINK("http://codeforces.com/contest/584/problem/A","CF584-D2-A")</f>
        <v>CF584-D2-A</v>
      </c>
      <c r="C59" s="67"/>
      <c r="D59" s="67"/>
      <c r="E59" s="67"/>
      <c r="F59" s="67"/>
      <c r="G59" s="67"/>
      <c r="H59" s="67"/>
      <c r="I59" s="36">
        <f t="shared" si="0"/>
        <v>0</v>
      </c>
      <c r="J59" s="67"/>
      <c r="K59" s="36"/>
      <c r="L59" s="67"/>
      <c r="M59" s="290" t="str">
        <f>HYPERLINK("https://www.youtube.com/watch?v=U3bX6kIGDG8","Video Solution - Solver to be (Java)")</f>
        <v>Video Solution - Solver to be (Java)</v>
      </c>
      <c r="N59" s="191" t="s">
        <v>1236</v>
      </c>
      <c r="O59" s="191">
        <v>1</v>
      </c>
      <c r="P59" s="286">
        <v>1.5</v>
      </c>
    </row>
    <row r="60" spans="1:16" ht="12.5">
      <c r="A60" s="60" t="s">
        <v>258</v>
      </c>
      <c r="B60" s="287" t="str">
        <f>HYPERLINK("http://codeforces.com/contest/682/problem/A","CF682-D2-A")</f>
        <v>CF682-D2-A</v>
      </c>
      <c r="C60" s="67"/>
      <c r="D60" s="67"/>
      <c r="E60" s="67"/>
      <c r="F60" s="67"/>
      <c r="G60" s="67"/>
      <c r="H60" s="67"/>
      <c r="I60" s="36">
        <f t="shared" si="0"/>
        <v>0</v>
      </c>
      <c r="J60" s="93"/>
      <c r="K60" s="36"/>
      <c r="L60" s="93"/>
      <c r="M60" s="293" t="str">
        <f>HYPERLINK("https://www.youtube.com/watch?v=05ZIXw2G4Pw&amp;feature=youtu.be","Video Solution - Eng John Gamal")</f>
        <v>Video Solution - Eng John Gamal</v>
      </c>
      <c r="N60" s="191" t="s">
        <v>1236</v>
      </c>
      <c r="O60" s="191">
        <v>1</v>
      </c>
      <c r="P60" s="286">
        <v>1.5</v>
      </c>
    </row>
    <row r="61" spans="1:16" ht="12.5">
      <c r="A61" s="60" t="s">
        <v>212</v>
      </c>
      <c r="B61" s="287" t="str">
        <f>HYPERLINK("http://codeforces.com/contest/686/problem/A","CF686-D2-A")</f>
        <v>CF686-D2-A</v>
      </c>
      <c r="C61" s="67"/>
      <c r="D61" s="67"/>
      <c r="E61" s="67"/>
      <c r="F61" s="67"/>
      <c r="G61" s="67"/>
      <c r="H61" s="67"/>
      <c r="I61" s="36">
        <f t="shared" si="0"/>
        <v>0</v>
      </c>
      <c r="J61" s="67"/>
      <c r="K61" s="36"/>
      <c r="L61" s="67"/>
      <c r="M61" s="290" t="str">
        <f>HYPERLINK("https://www.youtube.com/watch?v=Alipj6tJKKI","Video Solution - Solver to be (Java)")</f>
        <v>Video Solution - Solver to be (Java)</v>
      </c>
      <c r="N61" s="191" t="s">
        <v>1236</v>
      </c>
      <c r="O61" s="191">
        <v>1</v>
      </c>
      <c r="P61" s="286">
        <v>1.5</v>
      </c>
    </row>
    <row r="62" spans="1:16" ht="12.5">
      <c r="A62" s="60" t="s">
        <v>279</v>
      </c>
      <c r="B62" s="287" t="str">
        <f>HYPERLINK("http://codeforces.com/contest/69/problem/A","CF69-D2-A")</f>
        <v>CF69-D2-A</v>
      </c>
      <c r="C62" s="67"/>
      <c r="D62" s="67"/>
      <c r="E62" s="67"/>
      <c r="F62" s="67"/>
      <c r="G62" s="67"/>
      <c r="H62" s="67"/>
      <c r="I62" s="36">
        <f t="shared" si="0"/>
        <v>0</v>
      </c>
      <c r="J62" s="67"/>
      <c r="K62" s="36"/>
      <c r="L62" s="67"/>
      <c r="M62" s="290" t="str">
        <f>HYPERLINK("https://www.youtube.com/watch?v=L8pMTIq7DFM","Video Solution - Solver to be (Java)")</f>
        <v>Video Solution - Solver to be (Java)</v>
      </c>
      <c r="N62" s="191" t="s">
        <v>1236</v>
      </c>
      <c r="O62" s="191">
        <v>1</v>
      </c>
      <c r="P62" s="286">
        <v>1.5</v>
      </c>
    </row>
    <row r="63" spans="1:16" ht="12.5">
      <c r="A63" s="60" t="s">
        <v>263</v>
      </c>
      <c r="B63" s="287" t="str">
        <f>HYPERLINK("http://codeforces.com/contest/699/problem/A","CF699-D2-A")</f>
        <v>CF699-D2-A</v>
      </c>
      <c r="C63" s="67"/>
      <c r="D63" s="67"/>
      <c r="E63" s="67"/>
      <c r="F63" s="67"/>
      <c r="G63" s="67"/>
      <c r="H63" s="67"/>
      <c r="I63" s="36">
        <f t="shared" si="0"/>
        <v>0</v>
      </c>
      <c r="J63" s="93"/>
      <c r="K63" s="36"/>
      <c r="L63" s="93"/>
      <c r="M63" s="293" t="str">
        <f>HYPERLINK("https://www.youtube.com/watch?v=2xSkHmA5z8s","Video Solution - Eng Samed Hajajla")</f>
        <v>Video Solution - Eng Samed Hajajla</v>
      </c>
      <c r="N63" s="191" t="s">
        <v>1236</v>
      </c>
      <c r="O63" s="191">
        <v>1</v>
      </c>
      <c r="P63" s="286">
        <v>1.5</v>
      </c>
    </row>
    <row r="64" spans="1:16" ht="12.5">
      <c r="A64" s="60" t="s">
        <v>241</v>
      </c>
      <c r="B64" s="287" t="str">
        <f>HYPERLINK("http://codeforces.com/contest/707/problem/A","CF707-D2-A")</f>
        <v>CF707-D2-A</v>
      </c>
      <c r="C64" s="67"/>
      <c r="D64" s="67"/>
      <c r="E64" s="67"/>
      <c r="F64" s="67"/>
      <c r="G64" s="67"/>
      <c r="H64" s="67"/>
      <c r="I64" s="36">
        <f t="shared" si="0"/>
        <v>0</v>
      </c>
      <c r="J64" s="67"/>
      <c r="K64" s="36"/>
      <c r="L64" s="67"/>
      <c r="M64" s="290" t="str">
        <f>HYPERLINK("https://www.youtube.com/watch?v=cCraOn4wjAs","Video Solution - Solver to be (Java)")</f>
        <v>Video Solution - Solver to be (Java)</v>
      </c>
      <c r="N64" s="191" t="s">
        <v>1236</v>
      </c>
      <c r="O64" s="191">
        <v>1</v>
      </c>
      <c r="P64" s="286">
        <v>1.5</v>
      </c>
    </row>
    <row r="65" spans="1:17" ht="12.5">
      <c r="A65" s="60" t="s">
        <v>211</v>
      </c>
      <c r="B65" s="287" t="str">
        <f>HYPERLINK("http://codeforces.com/contest/71/problem/A","CF71-D2-A")</f>
        <v>CF71-D2-A</v>
      </c>
      <c r="C65" s="67"/>
      <c r="D65" s="67"/>
      <c r="E65" s="67"/>
      <c r="F65" s="67"/>
      <c r="G65" s="67"/>
      <c r="H65" s="67"/>
      <c r="I65" s="36">
        <f t="shared" si="0"/>
        <v>0</v>
      </c>
      <c r="J65" s="67"/>
      <c r="K65" s="36"/>
      <c r="L65" s="67"/>
      <c r="M65" s="290" t="str">
        <f>HYPERLINK("https://www.youtube.com/watch?v=yuebR81LyXE","Video Solution - Solver to be (Java)")</f>
        <v>Video Solution - Solver to be (Java)</v>
      </c>
      <c r="N65" s="191" t="s">
        <v>1236</v>
      </c>
      <c r="O65" s="191">
        <v>1</v>
      </c>
      <c r="P65" s="286">
        <v>1.5</v>
      </c>
    </row>
    <row r="66" spans="1:17" ht="12.5">
      <c r="A66" s="60" t="s">
        <v>244</v>
      </c>
      <c r="B66" s="287" t="str">
        <f>HYPERLINK("http://codeforces.com/contest/742/problem/A","CF742-D2-A")</f>
        <v>CF742-D2-A</v>
      </c>
      <c r="C66" s="67"/>
      <c r="D66" s="67"/>
      <c r="E66" s="67"/>
      <c r="F66" s="67"/>
      <c r="G66" s="67"/>
      <c r="H66" s="67"/>
      <c r="I66" s="36">
        <f t="shared" si="0"/>
        <v>0</v>
      </c>
      <c r="J66" s="67"/>
      <c r="K66" s="36"/>
      <c r="L66" s="67"/>
      <c r="M66" s="290" t="str">
        <f>HYPERLINK("https://www.youtube.com/watch?v=kdJGLjKy54o","Video Solution - Solver to be (Java)")</f>
        <v>Video Solution - Solver to be (Java)</v>
      </c>
      <c r="N66" s="191" t="s">
        <v>1236</v>
      </c>
      <c r="O66" s="191">
        <v>1</v>
      </c>
      <c r="P66" s="286">
        <v>1.5</v>
      </c>
    </row>
    <row r="67" spans="1:17" ht="12.5">
      <c r="A67" s="60" t="s">
        <v>224</v>
      </c>
      <c r="B67" s="287" t="str">
        <f>HYPERLINK("http://codeforces.com/contest/766/problem/A","CF766-D2-A")</f>
        <v>CF766-D2-A</v>
      </c>
      <c r="C67" s="67"/>
      <c r="D67" s="67"/>
      <c r="E67" s="67"/>
      <c r="F67" s="67"/>
      <c r="G67" s="67"/>
      <c r="H67" s="67"/>
      <c r="I67" s="36">
        <f t="shared" si="0"/>
        <v>0</v>
      </c>
      <c r="J67" s="67"/>
      <c r="K67" s="36"/>
      <c r="L67" s="67"/>
      <c r="M67" s="290" t="str">
        <f>HYPERLINK("https://www.youtube.com/watch?v=nq66DIFAyhs","Video Solution - Solver to be (Java)")</f>
        <v>Video Solution - Solver to be (Java)</v>
      </c>
      <c r="N67" s="191" t="s">
        <v>1236</v>
      </c>
      <c r="O67" s="191">
        <v>1</v>
      </c>
      <c r="P67" s="286">
        <v>1.5</v>
      </c>
    </row>
    <row r="68" spans="1:17" ht="12.5">
      <c r="A68" s="60" t="s">
        <v>225</v>
      </c>
      <c r="B68" s="287" t="str">
        <f>HYPERLINK("http://codeforces.com/problemset/problem/767/A","CF767-D2-A")</f>
        <v>CF767-D2-A</v>
      </c>
      <c r="C68" s="67"/>
      <c r="D68" s="67"/>
      <c r="E68" s="67"/>
      <c r="F68" s="67"/>
      <c r="G68" s="67"/>
      <c r="H68" s="67"/>
      <c r="I68" s="36">
        <f t="shared" si="0"/>
        <v>0</v>
      </c>
      <c r="J68" s="67"/>
      <c r="K68" s="36"/>
      <c r="L68" s="67"/>
      <c r="M68" s="290" t="str">
        <f>HYPERLINK("https://www.youtube.com/watch?v=MVHuUdj_CWo","Video Solution - Solver to be (Java)")</f>
        <v>Video Solution - Solver to be (Java)</v>
      </c>
      <c r="N68" s="191" t="s">
        <v>1236</v>
      </c>
      <c r="O68" s="191">
        <v>1</v>
      </c>
      <c r="P68" s="286">
        <v>1.5</v>
      </c>
    </row>
    <row r="69" spans="1:17" ht="12.5">
      <c r="A69" s="60" t="s">
        <v>226</v>
      </c>
      <c r="B69" s="287" t="str">
        <f>HYPERLINK("http://codeforces.com/contest/768/problem/A","CF768-D2-A")</f>
        <v>CF768-D2-A</v>
      </c>
      <c r="C69" s="67"/>
      <c r="D69" s="67"/>
      <c r="E69" s="67"/>
      <c r="F69" s="67"/>
      <c r="G69" s="67"/>
      <c r="H69" s="67"/>
      <c r="I69" s="36">
        <f t="shared" si="0"/>
        <v>0</v>
      </c>
      <c r="J69" s="67"/>
      <c r="K69" s="36"/>
      <c r="L69" s="67"/>
      <c r="M69" s="290" t="str">
        <f>HYPERLINK("https://www.youtube.com/watch?v=4vBmYmqOoIk","Video Solution - Solver to be (Java)")</f>
        <v>Video Solution - Solver to be (Java)</v>
      </c>
      <c r="N69" s="191" t="s">
        <v>1236</v>
      </c>
      <c r="O69" s="191">
        <v>1</v>
      </c>
      <c r="P69" s="286">
        <v>1.5</v>
      </c>
    </row>
    <row r="70" spans="1:17" ht="12.5">
      <c r="A70" s="60" t="s">
        <v>215</v>
      </c>
      <c r="B70" s="287" t="str">
        <f>HYPERLINK("http://codeforces.com/contest/770/problem/A","CF770-D2-A")</f>
        <v>CF770-D2-A</v>
      </c>
      <c r="C70" s="67"/>
      <c r="D70" s="67"/>
      <c r="E70" s="67"/>
      <c r="F70" s="67"/>
      <c r="G70" s="67"/>
      <c r="H70" s="67"/>
      <c r="I70" s="36">
        <f t="shared" si="0"/>
        <v>0</v>
      </c>
      <c r="J70" s="67"/>
      <c r="K70" s="36"/>
      <c r="L70" s="67"/>
      <c r="M70" s="290" t="str">
        <f>HYPERLINK("https://www.youtube.com/watch?v=VDlquoqsOs","Video Solution - Solver to be (Java)")</f>
        <v>Video Solution - Solver to be (Java)</v>
      </c>
      <c r="N70" s="191" t="s">
        <v>1236</v>
      </c>
      <c r="O70" s="191">
        <v>1</v>
      </c>
      <c r="P70" s="286">
        <v>1.5</v>
      </c>
    </row>
    <row r="71" spans="1:17" ht="12.5">
      <c r="A71" s="60" t="s">
        <v>209</v>
      </c>
      <c r="B71" s="287" t="str">
        <f>HYPERLINK("http://codeforces.com/contest/799/problem/A","CF799-D2-A")</f>
        <v>CF799-D2-A</v>
      </c>
      <c r="C71" s="67"/>
      <c r="D71" s="67"/>
      <c r="E71" s="67"/>
      <c r="F71" s="67"/>
      <c r="G71" s="67"/>
      <c r="H71" s="67"/>
      <c r="I71" s="36">
        <f t="shared" si="0"/>
        <v>0</v>
      </c>
      <c r="J71" s="67"/>
      <c r="K71" s="36"/>
      <c r="L71" s="67"/>
      <c r="M71" s="291" t="str">
        <f>HYPERLINK("https://www.youtube.com/watch?v=uyEL9f8pxlM","Video Solution - Solver to be (Java)")</f>
        <v>Video Solution - Solver to be (Java)</v>
      </c>
      <c r="N71" s="191" t="s">
        <v>1236</v>
      </c>
      <c r="O71" s="191">
        <v>1</v>
      </c>
      <c r="P71" s="286">
        <v>1.5</v>
      </c>
    </row>
    <row r="72" spans="1:17" ht="12.5">
      <c r="A72" s="60" t="s">
        <v>248</v>
      </c>
      <c r="B72" s="287" t="str">
        <f>HYPERLINK("http://codeforces.com/contest/80/problem/A","CF80-D2-A")</f>
        <v>CF80-D2-A</v>
      </c>
      <c r="C72" s="67"/>
      <c r="D72" s="67"/>
      <c r="E72" s="67"/>
      <c r="F72" s="67"/>
      <c r="G72" s="67"/>
      <c r="H72" s="67"/>
      <c r="I72" s="36">
        <f t="shared" si="0"/>
        <v>0</v>
      </c>
      <c r="J72" s="67"/>
      <c r="K72" s="36"/>
      <c r="L72" s="67"/>
      <c r="M72" s="290" t="str">
        <f>HYPERLINK("https://www.youtube.com/watch?v=eBT7tgXcd2I","Video Solution - Solver to be (Java)")</f>
        <v>Video Solution - Solver to be (Java)</v>
      </c>
      <c r="N72" s="191" t="s">
        <v>1236</v>
      </c>
      <c r="O72" s="191">
        <v>1</v>
      </c>
      <c r="P72" s="286">
        <v>1.5</v>
      </c>
    </row>
    <row r="73" spans="1:17" ht="12.5">
      <c r="A73" s="60" t="s">
        <v>238</v>
      </c>
      <c r="B73" s="287" t="str">
        <f>HYPERLINK("http://codeforces.com/contest/807/problem/A","CF807-D2-A")</f>
        <v>CF807-D2-A</v>
      </c>
      <c r="C73" s="67"/>
      <c r="D73" s="67"/>
      <c r="E73" s="67"/>
      <c r="F73" s="67"/>
      <c r="G73" s="67"/>
      <c r="H73" s="67"/>
      <c r="I73" s="36">
        <f t="shared" si="0"/>
        <v>0</v>
      </c>
      <c r="J73" s="67"/>
      <c r="K73" s="36"/>
      <c r="L73" s="67"/>
      <c r="M73" s="290" t="str">
        <f>HYPERLINK("https://www.youtube.com/watch?v=PU-Lg0gs6kY","Video Solution - Solver to be (Java)")</f>
        <v>Video Solution - Solver to be (Java)</v>
      </c>
      <c r="N73" s="191" t="s">
        <v>1236</v>
      </c>
      <c r="O73" s="191">
        <v>1</v>
      </c>
      <c r="P73" s="286">
        <v>1.5</v>
      </c>
    </row>
    <row r="74" spans="1:17" ht="12.5">
      <c r="A74" s="60" t="s">
        <v>206</v>
      </c>
      <c r="B74" s="287" t="str">
        <f>HYPERLINK("http://codeforces.com/contest/9/problem/A","CF9-D2-A")</f>
        <v>CF9-D2-A</v>
      </c>
      <c r="C74" s="67"/>
      <c r="D74" s="67"/>
      <c r="E74" s="67"/>
      <c r="F74" s="67"/>
      <c r="G74" s="67"/>
      <c r="H74" s="67"/>
      <c r="I74" s="36">
        <f t="shared" si="0"/>
        <v>0</v>
      </c>
      <c r="J74" s="67"/>
      <c r="K74" s="36"/>
      <c r="L74" s="67"/>
      <c r="M74" s="292" t="str">
        <f>HYPERLINK("https://www.youtube.com/watch?v=5T1yiz9-jZo","Video Solution - Eng Muntaser Abukadeja")</f>
        <v>Video Solution - Eng Muntaser Abukadeja</v>
      </c>
      <c r="N74" s="191" t="s">
        <v>1236</v>
      </c>
      <c r="O74" s="191">
        <v>1</v>
      </c>
      <c r="P74" s="286">
        <v>1.5</v>
      </c>
    </row>
    <row r="75" spans="1:17" ht="12.5">
      <c r="A75" s="60" t="s">
        <v>221</v>
      </c>
      <c r="B75" s="287" t="str">
        <f>HYPERLINK("https://uva.onlinejudge.org/index.php?option=onlinejudge&amp;page=show_problem&amp;problem=3300","UVA 12148")</f>
        <v>UVA 12148</v>
      </c>
      <c r="C75" s="67"/>
      <c r="D75" s="67"/>
      <c r="E75" s="67"/>
      <c r="F75" s="67"/>
      <c r="G75" s="67"/>
      <c r="H75" s="67"/>
      <c r="I75" s="36">
        <f t="shared" si="0"/>
        <v>0</v>
      </c>
      <c r="J75" s="67"/>
      <c r="K75" s="36"/>
      <c r="L75" s="67"/>
      <c r="M75" s="298" t="str">
        <f>HYPERLINK("https://github.com/juanplopes/icpc/blob/master/uva/12148.cpp","Learn Calender Leap Year")</f>
        <v>Learn Calender Leap Year</v>
      </c>
      <c r="N75" s="286" t="s">
        <v>1238</v>
      </c>
      <c r="O75" s="286">
        <v>1</v>
      </c>
      <c r="P75" s="286">
        <v>2</v>
      </c>
      <c r="Q75" s="12" t="s">
        <v>1239</v>
      </c>
    </row>
    <row r="76" spans="1:17" ht="12.5">
      <c r="A76" s="60" t="s">
        <v>477</v>
      </c>
      <c r="B76" s="287" t="str">
        <f>HYPERLINK("http://acm.timus.ru/problem.aspx?space=1&amp;num=1100","TIMUS 1100")</f>
        <v>TIMUS 1100</v>
      </c>
      <c r="C76" s="67"/>
      <c r="D76" s="67"/>
      <c r="E76" s="67"/>
      <c r="F76" s="67"/>
      <c r="G76" s="67"/>
      <c r="H76" s="67"/>
      <c r="I76" s="36">
        <f t="shared" si="0"/>
        <v>0</v>
      </c>
      <c r="J76" s="36"/>
      <c r="K76" s="36"/>
      <c r="L76" s="36"/>
      <c r="M76" s="293" t="str">
        <f>HYPERLINK("https://github.com/marioyc/Online-Judge-Solutions/blob/master/Timus%20Online%20Judge/1100%20-%20Final%20Standings.cpp","Stable sort exercise")</f>
        <v>Stable sort exercise</v>
      </c>
      <c r="N76" s="286" t="s">
        <v>1240</v>
      </c>
      <c r="O76" s="286">
        <v>1</v>
      </c>
      <c r="P76" s="286">
        <v>2</v>
      </c>
      <c r="Q76" s="12" t="s">
        <v>1239</v>
      </c>
    </row>
    <row r="77" spans="1:17" ht="12.5">
      <c r="A77" s="60" t="s">
        <v>416</v>
      </c>
      <c r="B77" s="287" t="str">
        <f>HYPERLINK("http://codeforces.com/contest/6/problem/B","CF6-D2-B")</f>
        <v>CF6-D2-B</v>
      </c>
      <c r="C77" s="67"/>
      <c r="D77" s="67"/>
      <c r="E77" s="67"/>
      <c r="F77" s="67"/>
      <c r="G77" s="67"/>
      <c r="H77" s="67"/>
      <c r="I77" s="36">
        <f t="shared" si="0"/>
        <v>0</v>
      </c>
      <c r="J77" s="36"/>
      <c r="K77" s="36"/>
      <c r="L77" s="67"/>
      <c r="M77" s="290" t="str">
        <f>HYPERLINK("https://www.youtube.com/watch?v=FTM7HQahAc8&amp;feature=youtu.be","Video Solution - Eng Muntaser Abukadeja")</f>
        <v>Video Solution - Eng Muntaser Abukadeja</v>
      </c>
      <c r="N77" s="286" t="s">
        <v>1241</v>
      </c>
      <c r="O77" s="286">
        <v>1</v>
      </c>
      <c r="P77" s="191">
        <v>2</v>
      </c>
    </row>
    <row r="78" spans="1:17" ht="12.5">
      <c r="A78" s="60" t="s">
        <v>400</v>
      </c>
      <c r="B78" s="287" t="str">
        <f>HYPERLINK("http://codeforces.com/contest/102/problem/B","CF102-D2-B")</f>
        <v>CF102-D2-B</v>
      </c>
      <c r="C78" s="67"/>
      <c r="D78" s="67"/>
      <c r="E78" s="67"/>
      <c r="F78" s="67"/>
      <c r="G78" s="67"/>
      <c r="H78" s="67"/>
      <c r="I78" s="36">
        <f t="shared" si="0"/>
        <v>0</v>
      </c>
      <c r="J78" s="36"/>
      <c r="K78" s="36"/>
      <c r="L78" s="67"/>
      <c r="M78" s="290" t="str">
        <f>HYPERLINK("https://www.youtube.com/watch?v=_qdIm9Yj9_U","Video Solution - Eng Muntaser Abukadeja")</f>
        <v>Video Solution - Eng Muntaser Abukadeja</v>
      </c>
      <c r="N78" s="191" t="s">
        <v>1236</v>
      </c>
      <c r="O78" s="191">
        <v>1</v>
      </c>
      <c r="P78" s="286">
        <v>2</v>
      </c>
    </row>
    <row r="79" spans="1:17" ht="12.5">
      <c r="A79" s="60" t="s">
        <v>452</v>
      </c>
      <c r="B79" s="287" t="str">
        <f>HYPERLINK("http://codeforces.com/contest/144/problem/B","CF144-D2-B")</f>
        <v>CF144-D2-B</v>
      </c>
      <c r="C79" s="67"/>
      <c r="D79" s="67"/>
      <c r="E79" s="67"/>
      <c r="F79" s="67"/>
      <c r="G79" s="67"/>
      <c r="H79" s="67"/>
      <c r="I79" s="36">
        <f t="shared" si="0"/>
        <v>0</v>
      </c>
      <c r="J79" s="36"/>
      <c r="K79" s="36"/>
      <c r="L79" s="67"/>
      <c r="M79" s="290" t="str">
        <f>HYPERLINK("https://www.youtube.com/watch?v=9fpKWAPudyo&amp;feature=youtu.be","Video Solution - Eng Muntaser Abukadeja")</f>
        <v>Video Solution - Eng Muntaser Abukadeja</v>
      </c>
      <c r="N79" s="191" t="s">
        <v>1236</v>
      </c>
      <c r="O79" s="191">
        <v>1</v>
      </c>
      <c r="P79" s="286">
        <v>2</v>
      </c>
    </row>
    <row r="80" spans="1:17" ht="12.5">
      <c r="A80" s="60" t="s">
        <v>437</v>
      </c>
      <c r="B80" s="287" t="str">
        <f>HYPERLINK("http://codeforces.com/contest/152/problem/B","CF152-D2-B")</f>
        <v>CF152-D2-B</v>
      </c>
      <c r="C80" s="67"/>
      <c r="D80" s="67"/>
      <c r="E80" s="67"/>
      <c r="F80" s="67"/>
      <c r="G80" s="67"/>
      <c r="H80" s="67"/>
      <c r="I80" s="36">
        <f t="shared" si="0"/>
        <v>0</v>
      </c>
      <c r="J80" s="36"/>
      <c r="K80" s="36"/>
      <c r="L80" s="67"/>
      <c r="M80" s="290" t="str">
        <f>HYPERLINK("https://www.youtube.com/watch?v=PNB_OSbdCpQ&amp;feature=youtu.be","Video Solution - Eng Muntaser Abukadeja")</f>
        <v>Video Solution - Eng Muntaser Abukadeja</v>
      </c>
      <c r="N80" s="191" t="s">
        <v>1236</v>
      </c>
      <c r="O80" s="191">
        <v>1</v>
      </c>
      <c r="P80" s="286">
        <v>2</v>
      </c>
    </row>
    <row r="81" spans="1:16" ht="12.5">
      <c r="A81" s="60" t="s">
        <v>398</v>
      </c>
      <c r="B81" s="287" t="str">
        <f>HYPERLINK("http://codeforces.com/contest/16/problem/B","CF16-D2-B")</f>
        <v>CF16-D2-B</v>
      </c>
      <c r="C81" s="67"/>
      <c r="D81" s="67"/>
      <c r="E81" s="67"/>
      <c r="F81" s="67"/>
      <c r="G81" s="67"/>
      <c r="H81" s="67"/>
      <c r="I81" s="36">
        <f t="shared" si="0"/>
        <v>0</v>
      </c>
      <c r="J81" s="36"/>
      <c r="K81" s="36"/>
      <c r="L81" s="67"/>
      <c r="M81" s="290" t="str">
        <f>HYPERLINK("https://www.youtube.com/watch?v=eDg_yuWBS8o&amp;feature=youtu.be","Video Solution - Eng Muntaser Abukadeja")</f>
        <v>Video Solution - Eng Muntaser Abukadeja</v>
      </c>
      <c r="N81" s="191" t="s">
        <v>1236</v>
      </c>
      <c r="O81" s="191">
        <v>1</v>
      </c>
      <c r="P81" s="286">
        <v>2</v>
      </c>
    </row>
    <row r="82" spans="1:16" ht="12.5">
      <c r="A82" s="60" t="s">
        <v>438</v>
      </c>
      <c r="B82" s="287" t="str">
        <f>HYPERLINK("http://codeforces.com/contest/186/problem/B","CF186-D2-B")</f>
        <v>CF186-D2-B</v>
      </c>
      <c r="C82" s="67"/>
      <c r="D82" s="67"/>
      <c r="E82" s="67"/>
      <c r="F82" s="67"/>
      <c r="G82" s="67"/>
      <c r="H82" s="67"/>
      <c r="I82" s="36">
        <f t="shared" si="0"/>
        <v>0</v>
      </c>
      <c r="J82" s="36"/>
      <c r="K82" s="36"/>
      <c r="L82" s="67"/>
      <c r="M82" s="290" t="str">
        <f>HYPERLINK("https://www.youtube.com/watch?v=WdzdNdsaku4","Video Solution - Eng Mohamed Salah")</f>
        <v>Video Solution - Eng Mohamed Salah</v>
      </c>
      <c r="N82" s="191" t="s">
        <v>1236</v>
      </c>
      <c r="O82" s="191">
        <v>1</v>
      </c>
      <c r="P82" s="286">
        <v>2</v>
      </c>
    </row>
    <row r="83" spans="1:16" ht="12.5">
      <c r="A83" s="60" t="s">
        <v>434</v>
      </c>
      <c r="B83" s="287" t="str">
        <f>HYPERLINK("http://codeforces.com/contest/215/problem/B","CF215-D2-B")</f>
        <v>CF215-D2-B</v>
      </c>
      <c r="C83" s="67"/>
      <c r="D83" s="67"/>
      <c r="E83" s="67"/>
      <c r="F83" s="67"/>
      <c r="G83" s="67"/>
      <c r="H83" s="67"/>
      <c r="I83" s="36">
        <f t="shared" si="0"/>
        <v>0</v>
      </c>
      <c r="J83" s="36"/>
      <c r="K83" s="36"/>
      <c r="L83" s="67"/>
      <c r="M83" s="116" t="str">
        <f>HYPERLINK("https://www.youtube.com/watch?v=9PMRkDH1SAY&amp;t=4s","Video Solution - Eng Ahmed Salah")</f>
        <v>Video Solution - Eng Ahmed Salah</v>
      </c>
      <c r="N83" s="191" t="s">
        <v>1236</v>
      </c>
      <c r="O83" s="191">
        <v>1</v>
      </c>
      <c r="P83" s="286">
        <v>2</v>
      </c>
    </row>
    <row r="84" spans="1:16" ht="12.5">
      <c r="A84" s="60" t="s">
        <v>402</v>
      </c>
      <c r="B84" s="287" t="str">
        <f>HYPERLINK("http://codeforces.com/contest/227/problem/B","CF227-D2-B")</f>
        <v>CF227-D2-B</v>
      </c>
      <c r="C84" s="67"/>
      <c r="D84" s="67"/>
      <c r="E84" s="67"/>
      <c r="F84" s="67"/>
      <c r="G84" s="67"/>
      <c r="H84" s="67"/>
      <c r="I84" s="36">
        <f t="shared" si="0"/>
        <v>0</v>
      </c>
      <c r="J84" s="36"/>
      <c r="K84" s="36"/>
      <c r="L84" s="67"/>
      <c r="M84" s="290" t="str">
        <f>HYPERLINK("https://www.youtube.com/watch?v=76gg4S0A2nk","Video Solution - Eng Abanob Ashraf")</f>
        <v>Video Solution - Eng Abanob Ashraf</v>
      </c>
      <c r="N84" s="191" t="s">
        <v>1236</v>
      </c>
      <c r="O84" s="191">
        <v>1</v>
      </c>
      <c r="P84" s="286">
        <v>2</v>
      </c>
    </row>
    <row r="85" spans="1:16" ht="12.5">
      <c r="A85" s="60" t="s">
        <v>448</v>
      </c>
      <c r="B85" s="287" t="str">
        <f>HYPERLINK("http://codeforces.com/contest/262/problem/B","CF262-D2-B")</f>
        <v>CF262-D2-B</v>
      </c>
      <c r="C85" s="67"/>
      <c r="D85" s="67"/>
      <c r="E85" s="67"/>
      <c r="F85" s="67"/>
      <c r="G85" s="67"/>
      <c r="H85" s="67"/>
      <c r="I85" s="36">
        <f t="shared" si="0"/>
        <v>0</v>
      </c>
      <c r="J85" s="36"/>
      <c r="K85" s="36"/>
      <c r="L85" s="67"/>
      <c r="M85" s="290" t="str">
        <f>HYPERLINK("https://www.youtube.com/watch?v=6Ic_MPWfhEg","Video Solution - Eng Mohamed Salah")</f>
        <v>Video Solution - Eng Mohamed Salah</v>
      </c>
      <c r="N85" s="191" t="s">
        <v>1236</v>
      </c>
      <c r="O85" s="191">
        <v>1</v>
      </c>
      <c r="P85" s="286">
        <v>2</v>
      </c>
    </row>
    <row r="86" spans="1:16" ht="12.5">
      <c r="A86" s="60" t="s">
        <v>486</v>
      </c>
      <c r="B86" s="287" t="str">
        <f>HYPERLINK("http://codeforces.com/contest/337/problem/B","CF337-D2-B")</f>
        <v>CF337-D2-B</v>
      </c>
      <c r="C86" s="67"/>
      <c r="D86" s="67"/>
      <c r="E86" s="67"/>
      <c r="F86" s="67"/>
      <c r="G86" s="67"/>
      <c r="H86" s="67"/>
      <c r="I86" s="36">
        <f t="shared" si="0"/>
        <v>0</v>
      </c>
      <c r="J86" s="36"/>
      <c r="K86" s="36"/>
      <c r="L86" s="67"/>
      <c r="M86" s="299" t="str">
        <f>HYPERLINK("https://www.youtube.com/watch?v=NaB4pnNbXEY","Video Solution - Eng Mohamed Adel")</f>
        <v>Video Solution - Eng Mohamed Adel</v>
      </c>
      <c r="N86" s="191" t="s">
        <v>1236</v>
      </c>
      <c r="O86" s="191">
        <v>1</v>
      </c>
      <c r="P86" s="286">
        <v>2</v>
      </c>
    </row>
    <row r="87" spans="1:16" ht="12.5">
      <c r="A87" s="60" t="s">
        <v>451</v>
      </c>
      <c r="B87" s="287" t="str">
        <f>HYPERLINK("http://codeforces.com/contest/352/problem/B","CF352-D2-B")</f>
        <v>CF352-D2-B</v>
      </c>
      <c r="C87" s="67"/>
      <c r="D87" s="67"/>
      <c r="E87" s="67"/>
      <c r="F87" s="67"/>
      <c r="G87" s="67"/>
      <c r="H87" s="67"/>
      <c r="I87" s="36">
        <f t="shared" si="0"/>
        <v>0</v>
      </c>
      <c r="J87" s="36"/>
      <c r="K87" s="36"/>
      <c r="L87" s="67"/>
      <c r="M87" s="290" t="str">
        <f>HYPERLINK("https://www.youtube.com/watch?v=7xgzxrYuwUc","Video Solution - Eng Muntaser Abukadeja")</f>
        <v>Video Solution - Eng Muntaser Abukadeja</v>
      </c>
      <c r="N87" s="191" t="s">
        <v>1236</v>
      </c>
      <c r="O87" s="191">
        <v>1</v>
      </c>
      <c r="P87" s="286">
        <v>2</v>
      </c>
    </row>
    <row r="88" spans="1:16" ht="12.5">
      <c r="A88" s="60" t="s">
        <v>450</v>
      </c>
      <c r="B88" s="287" t="str">
        <f>HYPERLINK("http://codeforces.com/contest/376/problem/B","CF376-D2-B")</f>
        <v>CF376-D2-B</v>
      </c>
      <c r="C88" s="67"/>
      <c r="D88" s="67"/>
      <c r="E88" s="67"/>
      <c r="F88" s="67"/>
      <c r="G88" s="67"/>
      <c r="H88" s="67"/>
      <c r="I88" s="36">
        <f t="shared" si="0"/>
        <v>0</v>
      </c>
      <c r="J88" s="36"/>
      <c r="K88" s="36"/>
      <c r="L88" s="67"/>
      <c r="M88" s="290" t="str">
        <f>HYPERLINK("https://www.youtube.com/watch?v=d962qNWSvas&amp;feature=youtu.be","Video Solution - Eng Abanob Ashraf")</f>
        <v>Video Solution - Eng Abanob Ashraf</v>
      </c>
      <c r="N88" s="191" t="s">
        <v>1236</v>
      </c>
      <c r="O88" s="191">
        <v>1</v>
      </c>
      <c r="P88" s="286">
        <v>2</v>
      </c>
    </row>
    <row r="89" spans="1:16" ht="12.5">
      <c r="A89" s="60" t="s">
        <v>805</v>
      </c>
      <c r="B89" s="287" t="str">
        <f>HYPERLINK("http://codeforces.com/contest/384/problem/B","CF384-D2-B")</f>
        <v>CF384-D2-B</v>
      </c>
      <c r="C89" s="67"/>
      <c r="D89" s="67"/>
      <c r="E89" s="67"/>
      <c r="F89" s="67"/>
      <c r="G89" s="67"/>
      <c r="H89" s="67"/>
      <c r="I89" s="36">
        <f t="shared" si="0"/>
        <v>0</v>
      </c>
      <c r="J89" s="36"/>
      <c r="K89" s="36"/>
      <c r="L89" s="67"/>
      <c r="M89" s="60"/>
      <c r="N89" s="191" t="s">
        <v>1236</v>
      </c>
      <c r="O89" s="191">
        <v>1</v>
      </c>
      <c r="P89" s="286">
        <v>2</v>
      </c>
    </row>
    <row r="90" spans="1:16" ht="12.5">
      <c r="A90" s="60" t="s">
        <v>449</v>
      </c>
      <c r="B90" s="287" t="str">
        <f>HYPERLINK("http://codeforces.com/contest/385/problem/B","CF385-D2-B")</f>
        <v>CF385-D2-B</v>
      </c>
      <c r="C90" s="67"/>
      <c r="D90" s="67"/>
      <c r="E90" s="67"/>
      <c r="F90" s="67"/>
      <c r="G90" s="67"/>
      <c r="H90" s="67"/>
      <c r="I90" s="36">
        <f t="shared" si="0"/>
        <v>0</v>
      </c>
      <c r="J90" s="36"/>
      <c r="K90" s="36"/>
      <c r="L90" s="67"/>
      <c r="M90" s="290" t="str">
        <f>HYPERLINK("https://www.youtube.com/watch?v=hTUYMzcMuvA","Video Solution - Eng Mohamed Salah")</f>
        <v>Video Solution - Eng Mohamed Salah</v>
      </c>
      <c r="N90" s="191" t="s">
        <v>1236</v>
      </c>
      <c r="O90" s="191">
        <v>1</v>
      </c>
      <c r="P90" s="286">
        <v>2</v>
      </c>
    </row>
    <row r="91" spans="1:16" ht="12.5">
      <c r="A91" s="60" t="s">
        <v>436</v>
      </c>
      <c r="B91" s="287" t="str">
        <f>HYPERLINK("http://codeforces.com/contest/400/problem/B","CF400-D2-B")</f>
        <v>CF400-D2-B</v>
      </c>
      <c r="C91" s="67"/>
      <c r="D91" s="67"/>
      <c r="E91" s="67"/>
      <c r="F91" s="67"/>
      <c r="G91" s="67"/>
      <c r="H91" s="67"/>
      <c r="I91" s="36">
        <f t="shared" si="0"/>
        <v>0</v>
      </c>
      <c r="J91" s="36"/>
      <c r="K91" s="36"/>
      <c r="L91" s="67"/>
      <c r="M91" s="290" t="str">
        <f>HYPERLINK("https://www.youtube.com/watch?v=ZWL57YYKwUM&amp;t=1s","Video Solution - Eng Mohamed Salah")</f>
        <v>Video Solution - Eng Mohamed Salah</v>
      </c>
      <c r="N91" s="191" t="s">
        <v>1236</v>
      </c>
      <c r="O91" s="191">
        <v>1</v>
      </c>
      <c r="P91" s="286">
        <v>2</v>
      </c>
    </row>
    <row r="92" spans="1:16" ht="12.5">
      <c r="A92" s="60" t="s">
        <v>479</v>
      </c>
      <c r="B92" s="287" t="str">
        <f>HYPERLINK("http://codeforces.com/contest/415/problem/B","CF415-D2-B")</f>
        <v>CF415-D2-B</v>
      </c>
      <c r="C92" s="67"/>
      <c r="D92" s="67"/>
      <c r="E92" s="67"/>
      <c r="F92" s="67"/>
      <c r="G92" s="67"/>
      <c r="H92" s="67"/>
      <c r="I92" s="36">
        <f t="shared" si="0"/>
        <v>0</v>
      </c>
      <c r="J92" s="36"/>
      <c r="K92" s="36"/>
      <c r="L92" s="67"/>
      <c r="M92" s="137" t="str">
        <f>HYPERLINK("https://www.youtube.com/watch?v=ZNxSTHmpLGc&amp;feature=youtu.be","Video Solution - Eng Salma Yehia")</f>
        <v>Video Solution - Eng Salma Yehia</v>
      </c>
      <c r="N92" s="191" t="s">
        <v>1236</v>
      </c>
      <c r="O92" s="191">
        <v>1</v>
      </c>
      <c r="P92" s="286">
        <v>2</v>
      </c>
    </row>
    <row r="93" spans="1:16" ht="12.5">
      <c r="A93" s="60" t="s">
        <v>494</v>
      </c>
      <c r="B93" s="287" t="str">
        <f>HYPERLINK("http://codeforces.com/contest/435/problem/B","CF435-D2-B")</f>
        <v>CF435-D2-B</v>
      </c>
      <c r="C93" s="67"/>
      <c r="D93" s="67"/>
      <c r="E93" s="67"/>
      <c r="F93" s="67"/>
      <c r="G93" s="67"/>
      <c r="H93" s="67"/>
      <c r="I93" s="36">
        <f t="shared" si="0"/>
        <v>0</v>
      </c>
      <c r="J93" s="36"/>
      <c r="K93" s="36"/>
      <c r="L93" s="67"/>
      <c r="M93" s="290" t="str">
        <f>HYPERLINK("https://www.youtube.com/watch?v=hDsuoSTdytw&amp;feature=youtu.be","Video Solution - Eng Hossam Yehia")</f>
        <v>Video Solution - Eng Hossam Yehia</v>
      </c>
      <c r="N93" s="191" t="s">
        <v>1236</v>
      </c>
      <c r="O93" s="191">
        <v>1</v>
      </c>
      <c r="P93" s="286">
        <v>2</v>
      </c>
    </row>
    <row r="94" spans="1:16" ht="12.5">
      <c r="A94" s="60" t="s">
        <v>462</v>
      </c>
      <c r="B94" s="287" t="str">
        <f>HYPERLINK("http://codeforces.com/contest/445/problem/B","CF445-D2-B")</f>
        <v>CF445-D2-B</v>
      </c>
      <c r="C94" s="67"/>
      <c r="D94" s="67"/>
      <c r="E94" s="67"/>
      <c r="F94" s="67"/>
      <c r="G94" s="67"/>
      <c r="H94" s="67"/>
      <c r="I94" s="36">
        <f t="shared" si="0"/>
        <v>0</v>
      </c>
      <c r="J94" s="36"/>
      <c r="K94" s="36"/>
      <c r="L94" s="67"/>
      <c r="M94" s="124" t="s">
        <v>463</v>
      </c>
      <c r="N94" s="191" t="s">
        <v>1236</v>
      </c>
      <c r="O94" s="191">
        <v>1</v>
      </c>
      <c r="P94" s="286">
        <v>2</v>
      </c>
    </row>
    <row r="95" spans="1:16" ht="12.5">
      <c r="A95" s="60" t="s">
        <v>465</v>
      </c>
      <c r="B95" s="287" t="str">
        <f>HYPERLINK("http://codeforces.com/contest/448/problem/B","CF448-D2-B")</f>
        <v>CF448-D2-B</v>
      </c>
      <c r="C95" s="67"/>
      <c r="D95" s="67"/>
      <c r="E95" s="67"/>
      <c r="F95" s="67"/>
      <c r="G95" s="67"/>
      <c r="H95" s="67"/>
      <c r="I95" s="36">
        <f t="shared" si="0"/>
        <v>0</v>
      </c>
      <c r="J95" s="36"/>
      <c r="K95" s="36"/>
      <c r="L95" s="67"/>
      <c r="M95" s="290" t="str">
        <f>HYPERLINK("https://www.youtube.com/watch?v=-J0VaYdgbRc","Video Solution - Eng Mohamed Salah")</f>
        <v>Video Solution - Eng Mohamed Salah</v>
      </c>
      <c r="N95" s="191" t="s">
        <v>1236</v>
      </c>
      <c r="O95" s="191">
        <v>1</v>
      </c>
      <c r="P95" s="286">
        <v>2</v>
      </c>
    </row>
    <row r="96" spans="1:16" ht="12.5">
      <c r="A96" s="60" t="s">
        <v>433</v>
      </c>
      <c r="B96" s="287" t="str">
        <f>HYPERLINK("http://codeforces.com/contest/469/problem/B","CF469-D2-B")</f>
        <v>CF469-D2-B</v>
      </c>
      <c r="C96" s="67"/>
      <c r="D96" s="67"/>
      <c r="E96" s="67"/>
      <c r="F96" s="67"/>
      <c r="G96" s="67"/>
      <c r="H96" s="67"/>
      <c r="I96" s="36">
        <f t="shared" si="0"/>
        <v>0</v>
      </c>
      <c r="J96" s="36"/>
      <c r="K96" s="36"/>
      <c r="L96" s="67"/>
      <c r="M96" s="290" t="str">
        <f>HYPERLINK("https://www.youtube.com/watch?v=7ns-xfWB-8g","Video Solution - Eng Mohamed Adel")</f>
        <v>Video Solution - Eng Mohamed Adel</v>
      </c>
      <c r="N96" s="191" t="s">
        <v>1236</v>
      </c>
      <c r="O96" s="191">
        <v>1</v>
      </c>
      <c r="P96" s="286">
        <v>2</v>
      </c>
    </row>
    <row r="97" spans="1:16" ht="12.5">
      <c r="A97" s="60" t="s">
        <v>401</v>
      </c>
      <c r="B97" s="287" t="str">
        <f>HYPERLINK("http://codeforces.com/contest/47/problem/B","CF47-D2-B")</f>
        <v>CF47-D2-B</v>
      </c>
      <c r="C97" s="67"/>
      <c r="D97" s="67"/>
      <c r="E97" s="67"/>
      <c r="F97" s="67"/>
      <c r="G97" s="67"/>
      <c r="H97" s="67"/>
      <c r="I97" s="36">
        <f t="shared" si="0"/>
        <v>0</v>
      </c>
      <c r="J97" s="36"/>
      <c r="K97" s="36"/>
      <c r="L97" s="67"/>
      <c r="M97" s="290" t="str">
        <f>HYPERLINK("https://www.youtube.com/watch?v=lvK0ZlpWeEY&amp;feature=youtu.be","Video Solution - Eng Samed Hajajla")</f>
        <v>Video Solution - Eng Samed Hajajla</v>
      </c>
      <c r="N97" s="191" t="s">
        <v>1236</v>
      </c>
      <c r="O97" s="191">
        <v>1</v>
      </c>
      <c r="P97" s="286">
        <v>2</v>
      </c>
    </row>
    <row r="98" spans="1:16" ht="12.5">
      <c r="A98" s="60" t="s">
        <v>483</v>
      </c>
      <c r="B98" s="287" t="str">
        <f>HYPERLINK("http://codeforces.com/contest/486/problem/B","CF486-D2-B")</f>
        <v>CF486-D2-B</v>
      </c>
      <c r="C98" s="67"/>
      <c r="D98" s="67"/>
      <c r="E98" s="67"/>
      <c r="F98" s="67"/>
      <c r="G98" s="67"/>
      <c r="H98" s="67"/>
      <c r="I98" s="36">
        <f t="shared" si="0"/>
        <v>0</v>
      </c>
      <c r="J98" s="36"/>
      <c r="K98" s="36"/>
      <c r="L98" s="67"/>
      <c r="M98" s="286"/>
      <c r="N98" s="191" t="s">
        <v>1236</v>
      </c>
      <c r="O98" s="191">
        <v>1</v>
      </c>
      <c r="P98" s="286">
        <v>2</v>
      </c>
    </row>
    <row r="99" spans="1:16" ht="12.5">
      <c r="A99" s="60" t="s">
        <v>487</v>
      </c>
      <c r="B99" s="287" t="str">
        <f>HYPERLINK("http://codeforces.com/contest/493/problem/B","CF493-D2-B")</f>
        <v>CF493-D2-B</v>
      </c>
      <c r="C99" s="67"/>
      <c r="D99" s="67"/>
      <c r="E99" s="67"/>
      <c r="F99" s="67"/>
      <c r="G99" s="67"/>
      <c r="H99" s="67"/>
      <c r="I99" s="36">
        <f t="shared" si="0"/>
        <v>0</v>
      </c>
      <c r="J99" s="36"/>
      <c r="K99" s="36"/>
      <c r="L99" s="67"/>
      <c r="M99" s="286"/>
      <c r="N99" s="191" t="s">
        <v>1236</v>
      </c>
      <c r="O99" s="191">
        <v>1</v>
      </c>
      <c r="P99" s="286">
        <v>2</v>
      </c>
    </row>
    <row r="100" spans="1:16" ht="12.5">
      <c r="A100" s="60" t="s">
        <v>821</v>
      </c>
      <c r="B100" s="287" t="str">
        <f>HYPERLINK("http://codeforces.com/contest/496/problem/B","CF496-D2-B")</f>
        <v>CF496-D2-B</v>
      </c>
      <c r="C100" s="67"/>
      <c r="D100" s="67"/>
      <c r="E100" s="67"/>
      <c r="F100" s="67"/>
      <c r="G100" s="67"/>
      <c r="H100" s="67"/>
      <c r="I100" s="36">
        <f t="shared" si="0"/>
        <v>0</v>
      </c>
      <c r="J100" s="36"/>
      <c r="K100" s="36"/>
      <c r="L100" s="67"/>
      <c r="M100" s="60"/>
      <c r="N100" s="191" t="s">
        <v>1236</v>
      </c>
      <c r="O100" s="191">
        <v>1</v>
      </c>
      <c r="P100" s="286">
        <v>2</v>
      </c>
    </row>
    <row r="101" spans="1:16" ht="12.5">
      <c r="A101" s="60" t="s">
        <v>461</v>
      </c>
      <c r="B101" s="287" t="str">
        <f>HYPERLINK("http://codeforces.com/contest/505/problem/B","CF505-D2-B")</f>
        <v>CF505-D2-B</v>
      </c>
      <c r="C101" s="67"/>
      <c r="D101" s="67"/>
      <c r="E101" s="67"/>
      <c r="F101" s="67"/>
      <c r="G101" s="67"/>
      <c r="H101" s="67"/>
      <c r="I101" s="36">
        <f t="shared" si="0"/>
        <v>0</v>
      </c>
      <c r="J101" s="67"/>
      <c r="K101" s="67"/>
      <c r="L101" s="67"/>
      <c r="M101" s="300" t="str">
        <f>HYPERLINK("https://www.youtube.com/watch?v=4516VTXcDJM&amp;feature=youtu.be","Video Solution - Eng Muntaser Abukadeja")</f>
        <v>Video Solution - Eng Muntaser Abukadeja</v>
      </c>
      <c r="N101" s="191" t="s">
        <v>1236</v>
      </c>
      <c r="O101" s="191">
        <v>1</v>
      </c>
      <c r="P101" s="286">
        <v>2</v>
      </c>
    </row>
    <row r="102" spans="1:16" ht="12.5">
      <c r="A102" s="60" t="s">
        <v>485</v>
      </c>
      <c r="B102" s="287" t="str">
        <f>HYPERLINK("http://codeforces.com/contest/510/problem/B","CF510-D2-B")</f>
        <v>CF510-D2-B</v>
      </c>
      <c r="C102" s="67"/>
      <c r="D102" s="67"/>
      <c r="E102" s="67"/>
      <c r="F102" s="67"/>
      <c r="G102" s="67"/>
      <c r="H102" s="67"/>
      <c r="I102" s="36">
        <f t="shared" si="0"/>
        <v>0</v>
      </c>
      <c r="J102" s="36"/>
      <c r="K102" s="36"/>
      <c r="L102" s="67"/>
      <c r="M102" s="299" t="str">
        <f>HYPERLINK("https://www.youtube.com/watch?v=LHIZzMjnG0k&amp;feature=youtu.be","Video Solution - Eng Mohamed Adel")</f>
        <v>Video Solution - Eng Mohamed Adel</v>
      </c>
      <c r="N102" s="191" t="s">
        <v>1236</v>
      </c>
      <c r="O102" s="191">
        <v>1</v>
      </c>
      <c r="P102" s="286">
        <v>2</v>
      </c>
    </row>
    <row r="103" spans="1:16" ht="12.5">
      <c r="A103" s="60" t="s">
        <v>496</v>
      </c>
      <c r="B103" s="287" t="str">
        <f>HYPERLINK("http://codeforces.com/contest/525/problem/B","CF525-D2-B")</f>
        <v>CF525-D2-B</v>
      </c>
      <c r="C103" s="67"/>
      <c r="D103" s="67"/>
      <c r="E103" s="67"/>
      <c r="F103" s="67"/>
      <c r="G103" s="67"/>
      <c r="H103" s="67"/>
      <c r="I103" s="36">
        <f t="shared" si="0"/>
        <v>0</v>
      </c>
      <c r="J103" s="36"/>
      <c r="K103" s="36"/>
      <c r="L103" s="67"/>
      <c r="M103" s="290" t="str">
        <f>HYPERLINK("https://www.youtube.com/watch?v=NPVp5BntYZ4","Video Solution - Eng Hossam Yehia")</f>
        <v>Video Solution - Eng Hossam Yehia</v>
      </c>
      <c r="N103" s="191" t="s">
        <v>1236</v>
      </c>
      <c r="O103" s="191">
        <v>1</v>
      </c>
      <c r="P103" s="286">
        <v>2</v>
      </c>
    </row>
    <row r="104" spans="1:16" ht="12.5">
      <c r="A104" s="60" t="s">
        <v>467</v>
      </c>
      <c r="B104" s="287" t="str">
        <f>HYPERLINK("http://codeforces.com/contest/544/problem/B","CF544-D2-B")</f>
        <v>CF544-D2-B</v>
      </c>
      <c r="C104" s="67"/>
      <c r="D104" s="67"/>
      <c r="E104" s="67"/>
      <c r="F104" s="67"/>
      <c r="G104" s="67"/>
      <c r="H104" s="67"/>
      <c r="I104" s="36">
        <f t="shared" si="0"/>
        <v>0</v>
      </c>
      <c r="J104" s="36"/>
      <c r="K104" s="36"/>
      <c r="L104" s="67"/>
      <c r="M104" s="290" t="str">
        <f>HYPERLINK("https://www.youtube.com/watch?v=7MC9PFQTlxs","Video Solution - Eng Mohamed Salah")</f>
        <v>Video Solution - Eng Mohamed Salah</v>
      </c>
      <c r="N104" s="191" t="s">
        <v>1236</v>
      </c>
      <c r="O104" s="191">
        <v>1</v>
      </c>
      <c r="P104" s="286">
        <v>2</v>
      </c>
    </row>
    <row r="105" spans="1:16" ht="12.5">
      <c r="A105" s="60" t="s">
        <v>490</v>
      </c>
      <c r="B105" s="287" t="str">
        <f>HYPERLINK("http://codeforces.com/contest/580/problem/B","CF580-D2-B")</f>
        <v>CF580-D2-B</v>
      </c>
      <c r="C105" s="67"/>
      <c r="D105" s="67"/>
      <c r="E105" s="67"/>
      <c r="F105" s="67"/>
      <c r="G105" s="67"/>
      <c r="H105" s="67"/>
      <c r="I105" s="36">
        <f t="shared" si="0"/>
        <v>0</v>
      </c>
      <c r="J105" s="36"/>
      <c r="K105" s="36"/>
      <c r="L105" s="67"/>
      <c r="M105" s="293" t="str">
        <f>HYPERLINK("https://www.youtube.com/watch?v=kUXDNSkFECM","Video Solution - SolverToBe (Java)")</f>
        <v>Video Solution - SolverToBe (Java)</v>
      </c>
      <c r="N105" s="191" t="s">
        <v>1236</v>
      </c>
      <c r="O105" s="191">
        <v>1</v>
      </c>
      <c r="P105" s="286">
        <v>2</v>
      </c>
    </row>
    <row r="106" spans="1:16" ht="12.5">
      <c r="A106" s="60" t="s">
        <v>464</v>
      </c>
      <c r="B106" s="287" t="str">
        <f>HYPERLINK("http://codeforces.com/contest/584/problem/B","CF584-D2-B")</f>
        <v>CF584-D2-B</v>
      </c>
      <c r="C106" s="67"/>
      <c r="D106" s="67"/>
      <c r="E106" s="67"/>
      <c r="F106" s="67"/>
      <c r="G106" s="67"/>
      <c r="H106" s="67"/>
      <c r="I106" s="36">
        <f t="shared" si="0"/>
        <v>0</v>
      </c>
      <c r="J106" s="36"/>
      <c r="K106" s="36"/>
      <c r="L106" s="67"/>
      <c r="M106" s="290" t="str">
        <f>HYPERLINK("https://www.youtube.com/watch?v=-Dh_FyJiJ9Q","Video Solution - Eng Yahia Ashraf")</f>
        <v>Video Solution - Eng Yahia Ashraf</v>
      </c>
      <c r="N106" s="191" t="s">
        <v>1236</v>
      </c>
      <c r="O106" s="191">
        <v>1</v>
      </c>
      <c r="P106" s="286">
        <v>2</v>
      </c>
    </row>
    <row r="107" spans="1:16" ht="12.5">
      <c r="A107" s="60" t="s">
        <v>480</v>
      </c>
      <c r="B107" s="287" t="str">
        <f>HYPERLINK("http://codeforces.com/contest/602/problem/B","CF602-D2-B")</f>
        <v>CF602-D2-B</v>
      </c>
      <c r="C107" s="67"/>
      <c r="D107" s="67"/>
      <c r="E107" s="67"/>
      <c r="F107" s="67"/>
      <c r="G107" s="67"/>
      <c r="H107" s="67"/>
      <c r="I107" s="36">
        <f t="shared" si="0"/>
        <v>0</v>
      </c>
      <c r="J107" s="36"/>
      <c r="K107" s="36"/>
      <c r="L107" s="67"/>
      <c r="M107" s="60"/>
      <c r="N107" s="191" t="s">
        <v>1236</v>
      </c>
      <c r="O107" s="191">
        <v>1</v>
      </c>
      <c r="P107" s="286">
        <v>2</v>
      </c>
    </row>
    <row r="108" spans="1:16" ht="12.5">
      <c r="A108" s="60" t="s">
        <v>488</v>
      </c>
      <c r="B108" s="287" t="str">
        <f>HYPERLINK("http://codeforces.com/contest/608/problem/B","CF608-D2-B")</f>
        <v>CF608-D2-B</v>
      </c>
      <c r="C108" s="67"/>
      <c r="D108" s="67"/>
      <c r="E108" s="67"/>
      <c r="F108" s="67"/>
      <c r="G108" s="67"/>
      <c r="H108" s="67"/>
      <c r="I108" s="36">
        <f t="shared" si="0"/>
        <v>0</v>
      </c>
      <c r="J108" s="36"/>
      <c r="K108" s="36"/>
      <c r="L108" s="67"/>
      <c r="M108" s="286"/>
      <c r="N108" s="191" t="s">
        <v>1236</v>
      </c>
      <c r="O108" s="191">
        <v>1</v>
      </c>
      <c r="P108" s="286">
        <v>2</v>
      </c>
    </row>
    <row r="109" spans="1:16" ht="12.5">
      <c r="A109" s="60" t="s">
        <v>396</v>
      </c>
      <c r="B109" s="287" t="str">
        <f>HYPERLINK("http://codeforces.com/contest/66/problem/B","CF66-D2-B")</f>
        <v>CF66-D2-B</v>
      </c>
      <c r="C109" s="67"/>
      <c r="D109" s="67"/>
      <c r="E109" s="67"/>
      <c r="F109" s="67"/>
      <c r="G109" s="67"/>
      <c r="H109" s="67"/>
      <c r="I109" s="36">
        <f t="shared" si="0"/>
        <v>0</v>
      </c>
      <c r="J109" s="36"/>
      <c r="K109" s="36"/>
      <c r="L109" s="67"/>
      <c r="M109" s="290" t="str">
        <f>HYPERLINK("https://www.youtube.com/watch?v=XRgCL-gVU7M&amp;feature=youtu.be","Video Solution - Eng Muntaser Abukadeja")</f>
        <v>Video Solution - Eng Muntaser Abukadeja</v>
      </c>
      <c r="N109" s="191" t="s">
        <v>1236</v>
      </c>
      <c r="O109" s="191">
        <v>1</v>
      </c>
      <c r="P109" s="286">
        <v>2</v>
      </c>
    </row>
    <row r="110" spans="1:16" ht="12.5">
      <c r="A110" s="60" t="s">
        <v>397</v>
      </c>
      <c r="B110" s="287" t="str">
        <f>HYPERLINK("http://codeforces.com/contest/680/problem/B","CF680-D2-B")</f>
        <v>CF680-D2-B</v>
      </c>
      <c r="C110" s="67"/>
      <c r="D110" s="67"/>
      <c r="E110" s="67"/>
      <c r="F110" s="67"/>
      <c r="G110" s="67"/>
      <c r="H110" s="67"/>
      <c r="I110" s="36">
        <f t="shared" si="0"/>
        <v>0</v>
      </c>
      <c r="J110" s="36"/>
      <c r="K110" s="36"/>
      <c r="L110" s="67"/>
      <c r="M110" s="290" t="str">
        <f>HYPERLINK("https://www.youtube.com/watch?v=oKRNtI-ZI5g&amp;feature=youtu.be","Video Solution - Eng Muntaser Abukadeja")</f>
        <v>Video Solution - Eng Muntaser Abukadeja</v>
      </c>
      <c r="N110" s="191" t="s">
        <v>1236</v>
      </c>
      <c r="O110" s="191">
        <v>1</v>
      </c>
      <c r="P110" s="286">
        <v>2</v>
      </c>
    </row>
    <row r="111" spans="1:16" ht="12.5">
      <c r="A111" s="60" t="s">
        <v>435</v>
      </c>
      <c r="B111" s="287" t="str">
        <f>HYPERLINK("http://codeforces.com/contest/714/problem/B","CF714-D2-B")</f>
        <v>CF714-D2-B</v>
      </c>
      <c r="C111" s="67"/>
      <c r="D111" s="67"/>
      <c r="E111" s="67"/>
      <c r="F111" s="67"/>
      <c r="G111" s="67"/>
      <c r="H111" s="67"/>
      <c r="I111" s="36">
        <f t="shared" si="0"/>
        <v>0</v>
      </c>
      <c r="J111" s="36"/>
      <c r="K111" s="36"/>
      <c r="L111" s="67"/>
      <c r="M111" s="290" t="str">
        <f>HYPERLINK("https://www.youtube.com/watch?v=aDDoryh3x_g","Video Solution - Eng Muntaser Abukadeja")</f>
        <v>Video Solution - Eng Muntaser Abukadeja</v>
      </c>
      <c r="N111" s="191" t="s">
        <v>1236</v>
      </c>
      <c r="O111" s="191">
        <v>1</v>
      </c>
      <c r="P111" s="286">
        <v>2</v>
      </c>
    </row>
    <row r="112" spans="1:16" ht="12.5">
      <c r="A112" s="60" t="s">
        <v>466</v>
      </c>
      <c r="B112" s="287" t="str">
        <f>HYPERLINK("http://codeforces.com/contest/716/problem/B","CF716-D2-B")</f>
        <v>CF716-D2-B</v>
      </c>
      <c r="C112" s="67"/>
      <c r="D112" s="67"/>
      <c r="E112" s="67"/>
      <c r="F112" s="67"/>
      <c r="G112" s="67"/>
      <c r="H112" s="67"/>
      <c r="I112" s="36">
        <f t="shared" si="0"/>
        <v>0</v>
      </c>
      <c r="J112" s="36"/>
      <c r="K112" s="36"/>
      <c r="L112" s="67"/>
      <c r="M112" s="290" t="str">
        <f>HYPERLINK("https://www.youtube.com/watch?v=lu6BhwVMNhw","Video Solution - Eng Mohamed Salah")</f>
        <v>Video Solution - Eng Mohamed Salah</v>
      </c>
      <c r="N112" s="191" t="s">
        <v>1236</v>
      </c>
      <c r="O112" s="191">
        <v>1</v>
      </c>
      <c r="P112" s="286">
        <v>2</v>
      </c>
    </row>
    <row r="113" spans="1:17" ht="12.5">
      <c r="A113" s="60" t="s">
        <v>403</v>
      </c>
      <c r="B113" s="287" t="str">
        <f>HYPERLINK("http://codeforces.com/contest/78/problem/B","CF78-D2-B")</f>
        <v>CF78-D2-B</v>
      </c>
      <c r="C113" s="67"/>
      <c r="D113" s="67"/>
      <c r="E113" s="67"/>
      <c r="F113" s="67"/>
      <c r="G113" s="67"/>
      <c r="H113" s="67"/>
      <c r="I113" s="36">
        <f t="shared" si="0"/>
        <v>0</v>
      </c>
      <c r="J113" s="36"/>
      <c r="K113" s="36"/>
      <c r="L113" s="67"/>
      <c r="M113" s="290" t="str">
        <f>HYPERLINK("https://www.youtube.com/watch?v=rJN_rI2xiV4","Video Solution - Eng Abanob Ashraf")</f>
        <v>Video Solution - Eng Abanob Ashraf</v>
      </c>
      <c r="N113" s="191" t="s">
        <v>1236</v>
      </c>
      <c r="O113" s="191">
        <v>1</v>
      </c>
      <c r="P113" s="286">
        <v>2</v>
      </c>
    </row>
    <row r="114" spans="1:17" ht="12.5">
      <c r="A114" s="60" t="s">
        <v>468</v>
      </c>
      <c r="B114" s="287" t="str">
        <f>HYPERLINK("http://codeforces.com/contest/141/problem/B","CF141-D2-B")</f>
        <v>CF141-D2-B</v>
      </c>
      <c r="C114" s="67"/>
      <c r="D114" s="67"/>
      <c r="E114" s="67"/>
      <c r="F114" s="67"/>
      <c r="G114" s="67"/>
      <c r="H114" s="67"/>
      <c r="I114" s="36">
        <f t="shared" si="0"/>
        <v>0</v>
      </c>
      <c r="J114" s="36"/>
      <c r="K114" s="36"/>
      <c r="L114" s="67"/>
      <c r="M114" s="28"/>
      <c r="N114" s="191" t="s">
        <v>1236</v>
      </c>
      <c r="O114" s="191">
        <v>1</v>
      </c>
      <c r="P114" s="286">
        <v>2</v>
      </c>
    </row>
    <row r="115" spans="1:17" ht="12.5">
      <c r="A115" s="60" t="s">
        <v>457</v>
      </c>
      <c r="B115" s="287" t="str">
        <f>HYPERLINK("http://codeforces.com/contest/253/problem/B","CF253-D2-B")</f>
        <v>CF253-D2-B</v>
      </c>
      <c r="C115" s="67"/>
      <c r="D115" s="67"/>
      <c r="E115" s="67"/>
      <c r="F115" s="67"/>
      <c r="G115" s="67"/>
      <c r="H115" s="67"/>
      <c r="I115" s="36">
        <f t="shared" si="0"/>
        <v>0</v>
      </c>
      <c r="J115" s="36"/>
      <c r="K115" s="36"/>
      <c r="L115" s="67"/>
      <c r="M115" s="290" t="str">
        <f>HYPERLINK("https://www.youtube.com/watch?v=ZR0IxC_xoFk","Video Solution - Eng Mohamed Salah")</f>
        <v>Video Solution - Eng Mohamed Salah</v>
      </c>
      <c r="N115" s="191" t="s">
        <v>1236</v>
      </c>
      <c r="O115" s="191">
        <v>1</v>
      </c>
      <c r="P115" s="286">
        <v>2</v>
      </c>
    </row>
    <row r="116" spans="1:17" ht="12.5">
      <c r="A116" s="60" t="s">
        <v>495</v>
      </c>
      <c r="B116" s="287" t="str">
        <f>HYPERLINK("http://codeforces.com/contest/276/problem/B","CF276-D2-B")</f>
        <v>CF276-D2-B</v>
      </c>
      <c r="C116" s="67"/>
      <c r="D116" s="67"/>
      <c r="E116" s="67"/>
      <c r="F116" s="67"/>
      <c r="G116" s="67"/>
      <c r="H116" s="67"/>
      <c r="I116" s="36">
        <f t="shared" si="0"/>
        <v>0</v>
      </c>
      <c r="J116" s="36"/>
      <c r="K116" s="36"/>
      <c r="L116" s="67"/>
      <c r="M116" s="290" t="str">
        <f>HYPERLINK("https://www.youtube.com/watch?v=WrpG_n0SrbY&amp;feature=youtu.be","Video Solution - Eng Hossam Yehia")</f>
        <v>Video Solution - Eng Hossam Yehia</v>
      </c>
      <c r="N116" s="191" t="s">
        <v>1236</v>
      </c>
      <c r="O116" s="191">
        <v>1</v>
      </c>
      <c r="P116" s="286">
        <v>2</v>
      </c>
    </row>
    <row r="117" spans="1:17" ht="12.5">
      <c r="A117" s="60" t="s">
        <v>493</v>
      </c>
      <c r="B117" s="287" t="str">
        <f>HYPERLINK("http://codeforces.com/contest/282/problem/B","CF282-D2-B")</f>
        <v>CF282-D2-B</v>
      </c>
      <c r="C117" s="67"/>
      <c r="D117" s="67"/>
      <c r="E117" s="67"/>
      <c r="F117" s="67"/>
      <c r="G117" s="67"/>
      <c r="H117" s="67"/>
      <c r="I117" s="36">
        <f t="shared" si="0"/>
        <v>0</v>
      </c>
      <c r="J117" s="36"/>
      <c r="K117" s="36"/>
      <c r="L117" s="67"/>
      <c r="M117" s="28"/>
      <c r="N117" s="191" t="s">
        <v>1236</v>
      </c>
      <c r="O117" s="191">
        <v>1</v>
      </c>
      <c r="P117" s="286">
        <v>2</v>
      </c>
    </row>
    <row r="118" spans="1:17" ht="12.5">
      <c r="A118" s="60" t="s">
        <v>415</v>
      </c>
      <c r="B118" s="287" t="str">
        <f>HYPERLINK("http://codeforces.com/contest/363/problem/B","CF363-D2-B")</f>
        <v>CF363-D2-B</v>
      </c>
      <c r="C118" s="67"/>
      <c r="D118" s="67"/>
      <c r="E118" s="67"/>
      <c r="F118" s="67"/>
      <c r="G118" s="67"/>
      <c r="H118" s="67"/>
      <c r="I118" s="36">
        <f t="shared" si="0"/>
        <v>0</v>
      </c>
      <c r="J118" s="36"/>
      <c r="K118" s="36"/>
      <c r="L118" s="67"/>
      <c r="M118" s="290" t="str">
        <f>HYPERLINK("https://www.youtube.com/watch?v=uwbfFMVMYBg&amp;feature=youtu.be","Video Solution - Eng Muntaser Abukadeja")</f>
        <v>Video Solution - Eng Muntaser Abukadeja</v>
      </c>
      <c r="N118" s="191" t="s">
        <v>1242</v>
      </c>
      <c r="O118" s="191">
        <v>1</v>
      </c>
      <c r="P118" s="286">
        <v>2</v>
      </c>
    </row>
    <row r="119" spans="1:17" ht="12.5">
      <c r="A119" s="60" t="s">
        <v>469</v>
      </c>
      <c r="B119" s="287" t="str">
        <f>HYPERLINK("http://codeforces.com/contest/369/problem/B","CF369-D2-B")</f>
        <v>CF369-D2-B</v>
      </c>
      <c r="C119" s="67"/>
      <c r="D119" s="67"/>
      <c r="E119" s="67"/>
      <c r="F119" s="67"/>
      <c r="G119" s="67"/>
      <c r="H119" s="67"/>
      <c r="I119" s="36">
        <f t="shared" si="0"/>
        <v>0</v>
      </c>
      <c r="J119" s="36"/>
      <c r="K119" s="36"/>
      <c r="L119" s="67"/>
      <c r="M119" s="290" t="str">
        <f>HYPERLINK("https://www.youtube.com/watch?v=1CHX-WYiQvA","Video Solution - Eng Yahia Ashraf")</f>
        <v>Video Solution - Eng Yahia Ashraf</v>
      </c>
      <c r="N119" s="191" t="s">
        <v>1236</v>
      </c>
      <c r="O119" s="191">
        <v>1</v>
      </c>
      <c r="P119" s="286">
        <v>2</v>
      </c>
    </row>
    <row r="120" spans="1:17" ht="12.5">
      <c r="A120" s="60" t="s">
        <v>455</v>
      </c>
      <c r="B120" s="287" t="str">
        <f>HYPERLINK("http://codeforces.com/contest/514/problem/B","CF514-D2-B")</f>
        <v>CF514-D2-B</v>
      </c>
      <c r="C120" s="67"/>
      <c r="D120" s="67"/>
      <c r="E120" s="67"/>
      <c r="F120" s="67"/>
      <c r="G120" s="67"/>
      <c r="H120" s="67"/>
      <c r="I120" s="36">
        <f t="shared" si="0"/>
        <v>0</v>
      </c>
      <c r="J120" s="36"/>
      <c r="K120" s="36"/>
      <c r="L120" s="67"/>
      <c r="M120" s="28"/>
      <c r="N120" s="191" t="s">
        <v>1236</v>
      </c>
      <c r="O120" s="191">
        <v>1</v>
      </c>
      <c r="P120" s="286">
        <v>2</v>
      </c>
    </row>
    <row r="121" spans="1:17" ht="12.5">
      <c r="A121" s="60" t="s">
        <v>458</v>
      </c>
      <c r="B121" s="287" t="str">
        <f>HYPERLINK("http://codeforces.com/contest/520/problem/B","CF520-D2-B")</f>
        <v>CF520-D2-B</v>
      </c>
      <c r="C121" s="67"/>
      <c r="D121" s="67"/>
      <c r="E121" s="67"/>
      <c r="F121" s="67"/>
      <c r="G121" s="67"/>
      <c r="H121" s="67"/>
      <c r="I121" s="36">
        <f t="shared" si="0"/>
        <v>0</v>
      </c>
      <c r="J121" s="36"/>
      <c r="K121" s="36"/>
      <c r="L121" s="67"/>
      <c r="M121" s="290" t="str">
        <f>HYPERLINK("https://www.youtube.com/watch?v=tMsOxSRU4Sk","Video Solution - Solver to be (Java)")</f>
        <v>Video Solution - Solver to be (Java)</v>
      </c>
      <c r="N121" s="191" t="s">
        <v>1236</v>
      </c>
      <c r="O121" s="191">
        <v>1</v>
      </c>
      <c r="P121" s="286">
        <v>2</v>
      </c>
    </row>
    <row r="122" spans="1:17" ht="12.5">
      <c r="A122" s="60" t="s">
        <v>491</v>
      </c>
      <c r="B122" s="287" t="str">
        <f>HYPERLINK("http://codeforces.com/contest/535/problem/B","CF535-D2-B")</f>
        <v>CF535-D2-B</v>
      </c>
      <c r="C122" s="67"/>
      <c r="D122" s="67"/>
      <c r="E122" s="67"/>
      <c r="F122" s="67"/>
      <c r="G122" s="67"/>
      <c r="H122" s="67"/>
      <c r="I122" s="36">
        <f t="shared" si="0"/>
        <v>0</v>
      </c>
      <c r="J122" s="67"/>
      <c r="K122" s="67"/>
      <c r="L122" s="67"/>
      <c r="M122" s="290" t="str">
        <f>HYPERLINK("https://www.youtube.com/watch?v=NPVp5BntYZ4","Video Solution - Eng Abanob Ashraf")</f>
        <v>Video Solution - Eng Abanob Ashraf</v>
      </c>
      <c r="N122" s="191" t="s">
        <v>1236</v>
      </c>
      <c r="O122" s="191">
        <v>1</v>
      </c>
      <c r="P122" s="286">
        <v>2</v>
      </c>
    </row>
    <row r="123" spans="1:17" ht="12.5">
      <c r="A123" s="60" t="s">
        <v>471</v>
      </c>
      <c r="B123" s="287" t="str">
        <f>HYPERLINK("http://codeforces.com/contest/550/problem/B","CF550-D2-B")</f>
        <v>CF550-D2-B</v>
      </c>
      <c r="C123" s="67"/>
      <c r="D123" s="67"/>
      <c r="E123" s="67"/>
      <c r="F123" s="67"/>
      <c r="G123" s="67"/>
      <c r="H123" s="67"/>
      <c r="I123" s="36">
        <f t="shared" si="0"/>
        <v>0</v>
      </c>
      <c r="J123" s="36"/>
      <c r="K123" s="36"/>
      <c r="L123" s="36"/>
      <c r="M123" s="293" t="str">
        <f>HYPERLINK("https://www.youtube.com/watch?v=o5fKByvQguE","Video Solution - SolverToBe (Java)")</f>
        <v>Video Solution - SolverToBe (Java)</v>
      </c>
      <c r="N123" s="191" t="s">
        <v>1236</v>
      </c>
      <c r="O123" s="191">
        <v>1</v>
      </c>
      <c r="P123" s="286">
        <v>2</v>
      </c>
    </row>
    <row r="124" spans="1:17" ht="12.5">
      <c r="A124" s="60" t="s">
        <v>417</v>
      </c>
      <c r="B124" s="287" t="str">
        <f>HYPERLINK("http://codeforces.com/contest/688/problem/B","CF688-D2-B")</f>
        <v>CF688-D2-B</v>
      </c>
      <c r="C124" s="67"/>
      <c r="D124" s="67"/>
      <c r="E124" s="67"/>
      <c r="F124" s="67"/>
      <c r="G124" s="67"/>
      <c r="H124" s="67"/>
      <c r="I124" s="36">
        <f t="shared" si="0"/>
        <v>0</v>
      </c>
      <c r="J124" s="36"/>
      <c r="K124" s="36"/>
      <c r="L124" s="67"/>
      <c r="M124" s="290" t="str">
        <f>HYPERLINK("https://www.youtube.com/watch?v=sy_g77hnbaA","Video Solution - Solver to be (Java)")</f>
        <v>Video Solution - Solver to be (Java)</v>
      </c>
      <c r="N124" s="191" t="s">
        <v>1236</v>
      </c>
      <c r="O124" s="191">
        <v>1</v>
      </c>
      <c r="P124" s="286">
        <v>2</v>
      </c>
    </row>
    <row r="125" spans="1:17" ht="12.5">
      <c r="A125" s="60" t="s">
        <v>832</v>
      </c>
      <c r="B125" s="287" t="str">
        <f>HYPERLINK("http://codeforces.com/contest/719/problem/B","CF719-D2-B")</f>
        <v>CF719-D2-B</v>
      </c>
      <c r="C125" s="67"/>
      <c r="D125" s="67"/>
      <c r="E125" s="67"/>
      <c r="F125" s="67"/>
      <c r="G125" s="67"/>
      <c r="H125" s="67"/>
      <c r="I125" s="36">
        <f t="shared" si="0"/>
        <v>0</v>
      </c>
      <c r="J125" s="67"/>
      <c r="K125" s="67"/>
      <c r="L125" s="67"/>
      <c r="M125" s="296"/>
      <c r="N125" s="191" t="s">
        <v>1236</v>
      </c>
      <c r="O125" s="191">
        <v>1</v>
      </c>
      <c r="P125" s="286">
        <v>2</v>
      </c>
    </row>
    <row r="126" spans="1:17" ht="12.5">
      <c r="A126" s="60" t="s">
        <v>404</v>
      </c>
      <c r="B126" s="287" t="str">
        <f>HYPERLINK("http://codeforces.com/contest/746/problem/B","CF746-D2-B")</f>
        <v>CF746-D2-B</v>
      </c>
      <c r="C126" s="67"/>
      <c r="D126" s="67"/>
      <c r="E126" s="67"/>
      <c r="F126" s="67"/>
      <c r="G126" s="67"/>
      <c r="H126" s="67"/>
      <c r="I126" s="36">
        <f t="shared" si="0"/>
        <v>0</v>
      </c>
      <c r="J126" s="36"/>
      <c r="K126" s="36"/>
      <c r="L126" s="67"/>
      <c r="M126" s="290" t="str">
        <f>HYPERLINK("https://www.youtube.com/watch?v=FI5HvI9SQtA","Video Solution - Solver to be (Java)")</f>
        <v>Video Solution - Solver to be (Java)</v>
      </c>
      <c r="N126" s="191" t="s">
        <v>1236</v>
      </c>
      <c r="O126" s="191">
        <v>1</v>
      </c>
      <c r="P126" s="286">
        <v>2</v>
      </c>
      <c r="Q126" s="12" t="s">
        <v>1243</v>
      </c>
    </row>
    <row r="127" spans="1:17" ht="12.5">
      <c r="A127" s="60" t="s">
        <v>470</v>
      </c>
      <c r="B127" s="287" t="str">
        <f>HYPERLINK("http://codeforces.com/contest/791/problem/B","CF791-D2-B")</f>
        <v>CF791-D2-B</v>
      </c>
      <c r="C127" s="67"/>
      <c r="D127" s="67"/>
      <c r="E127" s="67"/>
      <c r="F127" s="67"/>
      <c r="G127" s="67"/>
      <c r="H127" s="67"/>
      <c r="I127" s="36">
        <f t="shared" si="0"/>
        <v>0</v>
      </c>
      <c r="J127" s="36"/>
      <c r="K127" s="36"/>
      <c r="L127" s="36"/>
      <c r="M127" s="290" t="str">
        <f>HYPERLINK("https://www.youtube.com/watch?v=3tVJoeUE0Ag&amp;feature=youtu.be","Video Solution - Eng Mohamed Salah")</f>
        <v>Video Solution - Eng Mohamed Salah</v>
      </c>
      <c r="N127" s="191" t="s">
        <v>1236</v>
      </c>
      <c r="O127" s="191">
        <v>1</v>
      </c>
      <c r="P127" s="286">
        <v>2</v>
      </c>
    </row>
    <row r="128" spans="1:17" ht="12.5">
      <c r="A128" s="60" t="s">
        <v>229</v>
      </c>
      <c r="B128" s="287" t="str">
        <f>HYPERLINK("http://codeforces.com/contest/88/problem/B","CF88-D2-B")</f>
        <v>CF88-D2-B</v>
      </c>
      <c r="C128" s="67"/>
      <c r="D128" s="67"/>
      <c r="E128" s="67"/>
      <c r="F128" s="67"/>
      <c r="G128" s="67"/>
      <c r="H128" s="67"/>
      <c r="I128" s="36">
        <f t="shared" si="0"/>
        <v>0</v>
      </c>
      <c r="J128" s="36"/>
      <c r="K128" s="36"/>
      <c r="L128" s="67"/>
      <c r="M128" s="290" t="str">
        <f>HYPERLINK("https://www.youtube.com/watch?v=IlM9o1-xgE4&amp;feature=youtu.be","Video Solution - Eng Muntaser Abukadeja")</f>
        <v>Video Solution - Eng Muntaser Abukadeja</v>
      </c>
      <c r="N128" s="191" t="s">
        <v>1236</v>
      </c>
      <c r="O128" s="191">
        <v>1</v>
      </c>
      <c r="P128" s="286">
        <v>2</v>
      </c>
      <c r="Q128" s="12" t="s">
        <v>1243</v>
      </c>
    </row>
    <row r="129" spans="1:17" ht="12.5">
      <c r="A129" s="60" t="s">
        <v>414</v>
      </c>
      <c r="B129" s="287" t="str">
        <f>HYPERLINK("http://codeforces.com/contest/433/problem/B","CF433-D2-B")</f>
        <v>CF433-D2-B</v>
      </c>
      <c r="C129" s="67"/>
      <c r="D129" s="67"/>
      <c r="E129" s="67"/>
      <c r="F129" s="67"/>
      <c r="G129" s="67"/>
      <c r="H129" s="67"/>
      <c r="I129" s="36">
        <f t="shared" si="0"/>
        <v>0</v>
      </c>
      <c r="J129" s="67"/>
      <c r="K129" s="67"/>
      <c r="L129" s="67"/>
      <c r="M129" s="28"/>
      <c r="N129" s="286" t="s">
        <v>1244</v>
      </c>
      <c r="O129" s="286">
        <v>1</v>
      </c>
      <c r="P129" s="191">
        <v>2</v>
      </c>
    </row>
    <row r="130" spans="1:17" ht="12.5">
      <c r="A130" s="60" t="s">
        <v>657</v>
      </c>
      <c r="B130" s="287" t="str">
        <f>HYPERLINK("http://codeforces.com/contest/610/problem/B","CF610-D2-B")</f>
        <v>CF610-D2-B</v>
      </c>
      <c r="C130" s="67"/>
      <c r="D130" s="67"/>
      <c r="E130" s="67"/>
      <c r="F130" s="67"/>
      <c r="G130" s="67"/>
      <c r="H130" s="67"/>
      <c r="I130" s="36">
        <f t="shared" si="0"/>
        <v>0</v>
      </c>
      <c r="J130" s="67"/>
      <c r="K130" s="67"/>
      <c r="L130" s="67"/>
      <c r="M130" s="154"/>
      <c r="N130" s="286" t="s">
        <v>1244</v>
      </c>
      <c r="O130" s="286">
        <v>1</v>
      </c>
      <c r="P130" s="191">
        <v>2</v>
      </c>
    </row>
    <row r="131" spans="1:17" ht="12.5">
      <c r="A131" s="60"/>
      <c r="B131" s="99" t="str">
        <f>HYPERLINK("https://codeforces.com/contest/1237/problem/B","CF1237-D12-B")</f>
        <v>CF1237-D12-B</v>
      </c>
      <c r="C131" s="67"/>
      <c r="D131" s="67"/>
      <c r="E131" s="67"/>
      <c r="F131" s="67"/>
      <c r="G131" s="67"/>
      <c r="H131" s="67"/>
      <c r="I131" s="36">
        <f t="shared" si="0"/>
        <v>0</v>
      </c>
      <c r="J131" s="67"/>
      <c r="K131" s="67"/>
      <c r="L131" s="67"/>
      <c r="M131" s="154"/>
      <c r="N131" s="286" t="s">
        <v>1244</v>
      </c>
      <c r="O131" s="286">
        <v>1</v>
      </c>
      <c r="P131" s="191">
        <v>3</v>
      </c>
      <c r="Q131" s="12" t="s">
        <v>1245</v>
      </c>
    </row>
    <row r="132" spans="1:17" ht="12.5">
      <c r="A132" s="60" t="s">
        <v>746</v>
      </c>
      <c r="B132" s="287" t="str">
        <f>HYPERLINK("http://codeforces.com/contest/740/problem/C","CF740-D2-C")</f>
        <v>CF740-D2-C</v>
      </c>
      <c r="C132" s="67"/>
      <c r="D132" s="67"/>
      <c r="E132" s="67"/>
      <c r="F132" s="67"/>
      <c r="G132" s="67"/>
      <c r="H132" s="67"/>
      <c r="I132" s="36">
        <f t="shared" si="0"/>
        <v>0</v>
      </c>
      <c r="J132" s="36"/>
      <c r="K132" s="36"/>
      <c r="L132" s="67"/>
      <c r="M132" s="290" t="str">
        <f>HYPERLINK("https://www.youtube.com/watch?v=yDt7GWiPeV4","Video Solution - Dr Mostafa Saad")</f>
        <v>Video Solution - Dr Mostafa Saad</v>
      </c>
      <c r="N132" s="286" t="s">
        <v>1246</v>
      </c>
      <c r="O132" s="286">
        <v>1</v>
      </c>
      <c r="P132" s="286">
        <v>3</v>
      </c>
      <c r="Q132" s="12" t="s">
        <v>1243</v>
      </c>
    </row>
    <row r="133" spans="1:17" ht="12.5">
      <c r="A133" s="60"/>
      <c r="B133" s="287" t="str">
        <f>HYPERLINK("https://uva.onlinejudge.org/index.php?option=onlinejudge&amp;page=show_problem&amp;problem=1994","UVA 11053")</f>
        <v>UVA 11053</v>
      </c>
      <c r="C133" s="67"/>
      <c r="D133" s="67"/>
      <c r="E133" s="67"/>
      <c r="F133" s="67"/>
      <c r="G133" s="67"/>
      <c r="H133" s="67"/>
      <c r="I133" s="36">
        <f t="shared" si="0"/>
        <v>0</v>
      </c>
      <c r="J133" s="36"/>
      <c r="K133" s="36"/>
      <c r="L133" s="67"/>
      <c r="M133" s="301" t="str">
        <f>HYPERLINK("https://en.wikipedia.org/wiki/Cycle_detection#Floyd.27s_Tortoise_and_Hare","Find O(n) Solution")</f>
        <v>Find O(n) Solution</v>
      </c>
      <c r="N133" s="286" t="s">
        <v>1247</v>
      </c>
      <c r="O133" s="286">
        <v>1</v>
      </c>
      <c r="P133" s="286">
        <v>3</v>
      </c>
      <c r="Q133" s="12" t="s">
        <v>1239</v>
      </c>
    </row>
    <row r="134" spans="1:17" ht="12.5">
      <c r="A134" s="56" t="s">
        <v>760</v>
      </c>
      <c r="B134" s="287" t="str">
        <f>HYPERLINK("http://codeforces.com/contest/816/problem/B","CF816-D2-B")</f>
        <v>CF816-D2-B</v>
      </c>
      <c r="C134" s="67"/>
      <c r="D134" s="67"/>
      <c r="E134" s="67"/>
      <c r="F134" s="67"/>
      <c r="G134" s="67"/>
      <c r="H134" s="67"/>
      <c r="I134" s="36">
        <f t="shared" si="0"/>
        <v>0</v>
      </c>
      <c r="J134" s="67"/>
      <c r="K134" s="67"/>
      <c r="L134" s="67"/>
      <c r="M134" s="154"/>
      <c r="N134" s="286" t="s">
        <v>1244</v>
      </c>
      <c r="O134" s="286">
        <v>1</v>
      </c>
      <c r="P134" s="191">
        <v>4</v>
      </c>
      <c r="Q134" s="12" t="s">
        <v>1248</v>
      </c>
    </row>
    <row r="135" spans="1:17" ht="12.5">
      <c r="A135" s="60"/>
      <c r="B135" s="287" t="str">
        <f>HYPERLINK("http://codeforces.com/contest/1043/problem/C","CF1043-D12-C")</f>
        <v>CF1043-D12-C</v>
      </c>
      <c r="C135" s="67"/>
      <c r="D135" s="67"/>
      <c r="E135" s="67"/>
      <c r="F135" s="67"/>
      <c r="G135" s="67"/>
      <c r="H135" s="67"/>
      <c r="I135" s="36">
        <f t="shared" si="0"/>
        <v>0</v>
      </c>
      <c r="J135" s="67"/>
      <c r="K135" s="67"/>
      <c r="L135" s="67"/>
      <c r="M135" s="60"/>
      <c r="N135" s="286" t="s">
        <v>1246</v>
      </c>
      <c r="O135" s="286">
        <v>1</v>
      </c>
      <c r="P135" s="286">
        <v>4</v>
      </c>
      <c r="Q135" s="12" t="s">
        <v>1245</v>
      </c>
    </row>
    <row r="136" spans="1:17" ht="12.5">
      <c r="A136" s="60"/>
      <c r="B136" s="287" t="str">
        <f>HYPERLINK("http://codeforces.com/contest/1075/problem/C","CF1075-D2-C")</f>
        <v>CF1075-D2-C</v>
      </c>
      <c r="C136" s="67"/>
      <c r="D136" s="67"/>
      <c r="E136" s="67"/>
      <c r="F136" s="67"/>
      <c r="G136" s="67"/>
      <c r="H136" s="67"/>
      <c r="I136" s="36">
        <f t="shared" si="0"/>
        <v>0</v>
      </c>
      <c r="J136" s="36"/>
      <c r="K136" s="36"/>
      <c r="L136" s="67"/>
      <c r="M136" s="60"/>
      <c r="N136" s="286" t="s">
        <v>1249</v>
      </c>
      <c r="O136" s="286">
        <v>1</v>
      </c>
      <c r="P136" s="286">
        <v>4</v>
      </c>
      <c r="Q136" s="12" t="s">
        <v>1245</v>
      </c>
    </row>
    <row r="137" spans="1:17" ht="12.5">
      <c r="A137" s="60"/>
      <c r="B137" s="99" t="str">
        <f>HYPERLINK("https://codeforces.com/contest/1237/problem/C2","CF1237-D12-C2")</f>
        <v>CF1237-D12-C2</v>
      </c>
      <c r="C137" s="67"/>
      <c r="D137" s="67"/>
      <c r="E137" s="67"/>
      <c r="F137" s="67"/>
      <c r="G137" s="67"/>
      <c r="H137" s="67"/>
      <c r="I137" s="36">
        <f t="shared" si="0"/>
        <v>0</v>
      </c>
      <c r="J137" s="36"/>
      <c r="K137" s="36"/>
      <c r="L137" s="67"/>
      <c r="M137" s="60"/>
      <c r="N137" s="286" t="s">
        <v>1246</v>
      </c>
      <c r="O137" s="286">
        <v>1</v>
      </c>
      <c r="P137" s="286">
        <v>4</v>
      </c>
      <c r="Q137" s="12" t="s">
        <v>1245</v>
      </c>
    </row>
    <row r="138" spans="1:17" ht="12.5">
      <c r="A138" s="60" t="s">
        <v>831</v>
      </c>
      <c r="B138" s="287" t="str">
        <f>HYPERLINK("http://codeforces.com/contest/776/problem/C","CF776-D2-C")</f>
        <v>CF776-D2-C</v>
      </c>
      <c r="C138" s="67"/>
      <c r="D138" s="67"/>
      <c r="E138" s="67"/>
      <c r="F138" s="67"/>
      <c r="G138" s="67"/>
      <c r="H138" s="67"/>
      <c r="I138" s="36">
        <f t="shared" si="0"/>
        <v>0</v>
      </c>
      <c r="J138" s="67"/>
      <c r="K138" s="67"/>
      <c r="L138" s="67"/>
      <c r="M138" s="296" t="str">
        <f>HYPERLINK("https://www.youtube.com/watch?v=5roeMaM3T3Y","Video Solution - Solver to be (Java)")</f>
        <v>Video Solution - Solver to be (Java)</v>
      </c>
      <c r="N138" s="286" t="s">
        <v>1237</v>
      </c>
      <c r="O138" s="286">
        <v>1</v>
      </c>
      <c r="P138" s="286">
        <v>4</v>
      </c>
      <c r="Q138" s="12" t="s">
        <v>1243</v>
      </c>
    </row>
    <row r="139" spans="1:17" ht="12.5">
      <c r="A139" s="60" t="s">
        <v>802</v>
      </c>
      <c r="B139" s="287" t="str">
        <f>HYPERLINK("http://codeforces.com/contest/466/problem/C","CF466-D2-C")</f>
        <v>CF466-D2-C</v>
      </c>
      <c r="C139" s="67"/>
      <c r="D139" s="67"/>
      <c r="E139" s="67"/>
      <c r="F139" s="67"/>
      <c r="G139" s="67"/>
      <c r="H139" s="67"/>
      <c r="I139" s="36">
        <f t="shared" si="0"/>
        <v>0</v>
      </c>
      <c r="J139" s="36"/>
      <c r="K139" s="36"/>
      <c r="L139" s="67"/>
      <c r="M139" s="290" t="str">
        <f>HYPERLINK("https://www.youtube.com/watch?v=8G06-YDc2-I","Video Solution - Solver to be (Java)")</f>
        <v>Video Solution - Solver to be (Java)</v>
      </c>
      <c r="N139" s="286" t="s">
        <v>1237</v>
      </c>
      <c r="O139" s="286">
        <v>1</v>
      </c>
      <c r="P139" s="286">
        <v>4</v>
      </c>
      <c r="Q139" s="12" t="s">
        <v>1243</v>
      </c>
    </row>
    <row r="140" spans="1:17" ht="12.5">
      <c r="A140" s="60"/>
      <c r="B140" s="60" t="s">
        <v>797</v>
      </c>
      <c r="C140" s="67"/>
      <c r="D140" s="67"/>
      <c r="E140" s="67"/>
      <c r="F140" s="67"/>
      <c r="G140" s="67"/>
      <c r="H140" s="67"/>
      <c r="I140" s="36">
        <f t="shared" si="0"/>
        <v>0</v>
      </c>
      <c r="J140" s="36"/>
      <c r="K140" s="36"/>
      <c r="L140" s="67"/>
      <c r="M140" s="301" t="str">
        <f>HYPERLINK("https://github.com/mostafa-saad/MyCompetitiveProgramming/blob/master/SPOJ/SPOJ_TWINSNOW.txt","Sol - text clarification")</f>
        <v>Sol - text clarification</v>
      </c>
      <c r="N140" s="286" t="s">
        <v>1250</v>
      </c>
      <c r="O140" s="286">
        <v>1</v>
      </c>
      <c r="P140" s="286">
        <v>4</v>
      </c>
      <c r="Q140" s="12" t="s">
        <v>1239</v>
      </c>
    </row>
    <row r="141" spans="1:17" ht="12.5">
      <c r="A141" s="60"/>
      <c r="B141" s="60" t="s">
        <v>663</v>
      </c>
      <c r="C141" s="67"/>
      <c r="D141" s="67"/>
      <c r="E141" s="67"/>
      <c r="F141" s="67"/>
      <c r="G141" s="67"/>
      <c r="H141" s="67"/>
      <c r="I141" s="36">
        <f t="shared" si="0"/>
        <v>0</v>
      </c>
      <c r="J141" s="36"/>
      <c r="K141" s="36"/>
      <c r="L141" s="67"/>
      <c r="M141" s="163" t="s">
        <v>632</v>
      </c>
      <c r="N141" s="286" t="s">
        <v>1251</v>
      </c>
      <c r="O141" s="286">
        <v>1</v>
      </c>
      <c r="P141" s="286">
        <v>4</v>
      </c>
      <c r="Q141" s="12" t="s">
        <v>1239</v>
      </c>
    </row>
    <row r="142" spans="1:17" ht="12.5">
      <c r="A142" s="60"/>
      <c r="B142" s="60" t="s">
        <v>744</v>
      </c>
      <c r="C142" s="67"/>
      <c r="D142" s="67"/>
      <c r="E142" s="67"/>
      <c r="F142" s="67"/>
      <c r="G142" s="67"/>
      <c r="H142" s="67"/>
      <c r="I142" s="36">
        <f t="shared" si="0"/>
        <v>0</v>
      </c>
      <c r="J142" s="67"/>
      <c r="K142" s="67"/>
      <c r="L142" s="67"/>
      <c r="M142" s="28"/>
      <c r="N142" s="286" t="s">
        <v>1252</v>
      </c>
      <c r="O142" s="286">
        <v>1</v>
      </c>
      <c r="P142" s="286">
        <v>4</v>
      </c>
      <c r="Q142" s="12" t="s">
        <v>1239</v>
      </c>
    </row>
    <row r="143" spans="1:17" ht="12.5">
      <c r="A143" s="60" t="s">
        <v>1066</v>
      </c>
      <c r="B143" s="287" t="str">
        <f>HYPERLINK("http://codeforces.com/contest/194/problem/C","CF194-D2-C")</f>
        <v>CF194-D2-C</v>
      </c>
      <c r="C143" s="67"/>
      <c r="D143" s="67"/>
      <c r="E143" s="67"/>
      <c r="F143" s="67"/>
      <c r="G143" s="67"/>
      <c r="H143" s="67"/>
      <c r="I143" s="36">
        <f t="shared" si="0"/>
        <v>0</v>
      </c>
      <c r="J143" s="67"/>
      <c r="K143" s="67"/>
      <c r="L143" s="67"/>
      <c r="M143" s="60"/>
      <c r="N143" s="286" t="s">
        <v>1237</v>
      </c>
      <c r="O143" s="286">
        <v>1</v>
      </c>
      <c r="P143" s="286">
        <v>4</v>
      </c>
    </row>
    <row r="144" spans="1:17" ht="12.5">
      <c r="A144" s="60" t="s">
        <v>689</v>
      </c>
      <c r="B144" s="287" t="str">
        <f>HYPERLINK("http://codeforces.com/contest/822/problem/C","CF822-D2-C")</f>
        <v>CF822-D2-C</v>
      </c>
      <c r="C144" s="67"/>
      <c r="D144" s="67"/>
      <c r="E144" s="67"/>
      <c r="F144" s="67"/>
      <c r="G144" s="67"/>
      <c r="H144" s="67"/>
      <c r="I144" s="36">
        <f t="shared" si="0"/>
        <v>0</v>
      </c>
      <c r="J144" s="36"/>
      <c r="K144" s="36"/>
      <c r="L144" s="67"/>
      <c r="M144" s="290" t="str">
        <f>HYPERLINK("https://www.youtube.com/watch?v=VvR9spazigA","Video Solution - Solver to be (Java)")</f>
        <v>Video Solution - Solver to be (Java)</v>
      </c>
      <c r="N144" s="286" t="s">
        <v>1237</v>
      </c>
      <c r="O144" s="286">
        <v>1</v>
      </c>
      <c r="P144" s="286">
        <v>4</v>
      </c>
    </row>
    <row r="145" spans="1:17" ht="12.5">
      <c r="A145" s="60" t="s">
        <v>595</v>
      </c>
      <c r="B145" s="287" t="str">
        <f>HYPERLINK("http://codeforces.com/contest/296/problem/C","CF296-D2-C")</f>
        <v>CF296-D2-C</v>
      </c>
      <c r="C145" s="67"/>
      <c r="D145" s="67"/>
      <c r="E145" s="67"/>
      <c r="F145" s="67"/>
      <c r="G145" s="67"/>
      <c r="H145" s="67"/>
      <c r="I145" s="36">
        <f t="shared" si="0"/>
        <v>0</v>
      </c>
      <c r="J145" s="67"/>
      <c r="K145" s="67"/>
      <c r="L145" s="67"/>
      <c r="M145" s="28"/>
      <c r="N145" s="286" t="s">
        <v>1244</v>
      </c>
      <c r="O145" s="286">
        <v>1</v>
      </c>
      <c r="P145" s="286">
        <v>4</v>
      </c>
    </row>
    <row r="146" spans="1:17" ht="12.5">
      <c r="A146" s="60"/>
      <c r="B146" s="287" t="str">
        <f>HYPERLINK("https://codeforces.com/contest/1066/problem/E","CF1066-D3-E")</f>
        <v>CF1066-D3-E</v>
      </c>
      <c r="C146" s="67"/>
      <c r="D146" s="67"/>
      <c r="E146" s="67"/>
      <c r="F146" s="67"/>
      <c r="G146" s="67"/>
      <c r="H146" s="67"/>
      <c r="I146" s="36">
        <f t="shared" si="0"/>
        <v>0</v>
      </c>
      <c r="J146" s="67"/>
      <c r="K146" s="67"/>
      <c r="L146" s="67"/>
      <c r="M146" s="60"/>
      <c r="N146" s="286" t="s">
        <v>1253</v>
      </c>
      <c r="O146" s="286">
        <v>1</v>
      </c>
      <c r="P146" s="286">
        <v>4.25</v>
      </c>
      <c r="Q146" s="12" t="s">
        <v>1245</v>
      </c>
    </row>
    <row r="147" spans="1:17" ht="12.5">
      <c r="A147" s="46" t="s">
        <v>752</v>
      </c>
      <c r="B147" s="52" t="str">
        <f>HYPERLINK("https://codeforces.com/contest/1206/problem/C","CF1206-D2-C")</f>
        <v>CF1206-D2-C</v>
      </c>
      <c r="C147" s="67"/>
      <c r="D147" s="67"/>
      <c r="E147" s="67"/>
      <c r="F147" s="67"/>
      <c r="G147" s="67"/>
      <c r="H147" s="67"/>
      <c r="I147" s="36">
        <f t="shared" si="0"/>
        <v>0</v>
      </c>
      <c r="J147" s="36"/>
      <c r="K147" s="36"/>
      <c r="L147" s="10"/>
      <c r="M147" s="59" t="str">
        <f>HYPERLINK("https://www.youtube.com/watch?v=7D-8VO66OF8","Video Solution - Dr Mostafa Saad")</f>
        <v>Video Solution - Dr Mostafa Saad</v>
      </c>
      <c r="N147" s="286" t="s">
        <v>1246</v>
      </c>
      <c r="O147" s="286">
        <v>1</v>
      </c>
      <c r="P147" s="286">
        <v>4.25</v>
      </c>
      <c r="Q147" s="12" t="s">
        <v>1245</v>
      </c>
    </row>
    <row r="148" spans="1:17" ht="12.5">
      <c r="A148" s="60" t="s">
        <v>920</v>
      </c>
      <c r="B148" s="287" t="str">
        <f>HYPERLINK("http://codeforces.com/contest/189/problem/C","CF189-D2-C")</f>
        <v>CF189-D2-C</v>
      </c>
      <c r="C148" s="67"/>
      <c r="D148" s="67"/>
      <c r="E148" s="67"/>
      <c r="F148" s="67"/>
      <c r="G148" s="67"/>
      <c r="H148" s="67"/>
      <c r="I148" s="36">
        <f t="shared" si="0"/>
        <v>0</v>
      </c>
      <c r="J148" s="36"/>
      <c r="K148" s="36"/>
      <c r="L148" s="302"/>
      <c r="M148" s="216" t="str">
        <f>HYPERLINK("https://github.com/MedoN11/CompetitiveProgramming/blob/master/CodeForces/CF189-D1-C.cpp","Sol")</f>
        <v>Sol</v>
      </c>
      <c r="N148" s="286" t="s">
        <v>1237</v>
      </c>
      <c r="O148" s="286">
        <v>1</v>
      </c>
      <c r="P148" s="286">
        <v>4.5</v>
      </c>
      <c r="Q148" s="12"/>
    </row>
    <row r="149" spans="1:17" ht="12.5">
      <c r="A149" s="60"/>
      <c r="B149" s="60" t="s">
        <v>664</v>
      </c>
      <c r="C149" s="67"/>
      <c r="D149" s="67"/>
      <c r="E149" s="67"/>
      <c r="F149" s="67"/>
      <c r="G149" s="67"/>
      <c r="H149" s="67"/>
      <c r="I149" s="36">
        <f t="shared" si="0"/>
        <v>0</v>
      </c>
      <c r="J149" s="36"/>
      <c r="K149" s="36"/>
      <c r="L149" s="67"/>
      <c r="M149" s="60"/>
      <c r="N149" s="286" t="s">
        <v>1254</v>
      </c>
      <c r="O149" s="286">
        <v>1</v>
      </c>
      <c r="P149" s="286">
        <v>4.5</v>
      </c>
      <c r="Q149" s="12" t="s">
        <v>1243</v>
      </c>
    </row>
    <row r="150" spans="1:17" ht="12.5">
      <c r="A150" s="60" t="s">
        <v>913</v>
      </c>
      <c r="B150" s="287" t="str">
        <f>HYPERLINK("http://codeforces.com/contest/808/problem/D","CF808-D2-D")</f>
        <v>CF808-D2-D</v>
      </c>
      <c r="C150" s="67"/>
      <c r="D150" s="67"/>
      <c r="E150" s="67"/>
      <c r="F150" s="67"/>
      <c r="G150" s="67"/>
      <c r="H150" s="67"/>
      <c r="I150" s="36">
        <f t="shared" si="0"/>
        <v>0</v>
      </c>
      <c r="J150" s="36"/>
      <c r="K150" s="36"/>
      <c r="L150" s="67"/>
      <c r="M150" s="290" t="str">
        <f>HYPERLINK("https://www.youtube.com/watch?v=wL0s8xIQYbk","Video Solution - Solver to be (Java)")</f>
        <v>Video Solution - Solver to be (Java)</v>
      </c>
      <c r="N150" s="286" t="s">
        <v>1255</v>
      </c>
      <c r="O150" s="286">
        <v>1</v>
      </c>
      <c r="P150" s="286">
        <v>4.5</v>
      </c>
      <c r="Q150" s="12" t="s">
        <v>1239</v>
      </c>
    </row>
    <row r="151" spans="1:17" ht="12.5">
      <c r="A151" s="60" t="s">
        <v>777</v>
      </c>
      <c r="B151" s="287" t="str">
        <f>HYPERLINK("http://codeforces.com/contest/124/problem/C","CF124-D2-C")</f>
        <v>CF124-D2-C</v>
      </c>
      <c r="C151" s="67"/>
      <c r="D151" s="67"/>
      <c r="E151" s="67"/>
      <c r="F151" s="67"/>
      <c r="G151" s="67"/>
      <c r="H151" s="67"/>
      <c r="I151" s="36">
        <f t="shared" si="0"/>
        <v>0</v>
      </c>
      <c r="J151" s="67"/>
      <c r="K151" s="67"/>
      <c r="L151" s="67"/>
      <c r="M151" s="28"/>
      <c r="N151" s="286" t="s">
        <v>1246</v>
      </c>
      <c r="O151" s="286">
        <v>1</v>
      </c>
      <c r="P151" s="286">
        <v>4.5</v>
      </c>
    </row>
    <row r="152" spans="1:17" ht="12.5">
      <c r="A152" s="60" t="s">
        <v>782</v>
      </c>
      <c r="B152" s="287" t="str">
        <f>HYPERLINK("http://codeforces.com/contest/195/problem/C","CF195-D2-C")</f>
        <v>CF195-D2-C</v>
      </c>
      <c r="C152" s="67"/>
      <c r="D152" s="67"/>
      <c r="E152" s="67"/>
      <c r="F152" s="67"/>
      <c r="G152" s="67"/>
      <c r="H152" s="67"/>
      <c r="I152" s="36">
        <f t="shared" si="0"/>
        <v>0</v>
      </c>
      <c r="J152" s="36"/>
      <c r="K152" s="36"/>
      <c r="L152" s="67"/>
      <c r="M152" s="290" t="str">
        <f>HYPERLINK("https://github.com/mostafa-saad/MyCompetitiveProgramming/blob/master/Codeforces/CF195-D2-C-Ahmed%20Osama.pdf","Editorial - Eng Ahmed Osama")</f>
        <v>Editorial - Eng Ahmed Osama</v>
      </c>
      <c r="N152" s="286" t="s">
        <v>1256</v>
      </c>
      <c r="O152" s="286">
        <v>1</v>
      </c>
      <c r="P152" s="286">
        <v>4.5</v>
      </c>
    </row>
    <row r="153" spans="1:17" ht="12.5">
      <c r="A153" s="60" t="s">
        <v>1122</v>
      </c>
      <c r="B153" s="287" t="str">
        <f>HYPERLINK("http://codeforces.com/contest/59/problem/C","CF59-D2-C")</f>
        <v>CF59-D2-C</v>
      </c>
      <c r="C153" s="67"/>
      <c r="D153" s="67"/>
      <c r="E153" s="67"/>
      <c r="F153" s="67"/>
      <c r="G153" s="67"/>
      <c r="H153" s="67"/>
      <c r="I153" s="36">
        <f t="shared" si="0"/>
        <v>0</v>
      </c>
      <c r="J153" s="67"/>
      <c r="K153" s="67"/>
      <c r="L153" s="302"/>
      <c r="M153" s="28"/>
      <c r="N153" s="286" t="s">
        <v>1256</v>
      </c>
      <c r="O153" s="286">
        <v>1</v>
      </c>
      <c r="P153" s="286">
        <v>4.5</v>
      </c>
    </row>
    <row r="154" spans="1:17" ht="13">
      <c r="A154" s="60"/>
      <c r="B154" s="287" t="str">
        <f>HYPERLINK("http://codeforces.com/contest/309/problem/C","CF309-D1-C")</f>
        <v>CF309-D1-C</v>
      </c>
      <c r="C154" s="67"/>
      <c r="D154" s="67"/>
      <c r="E154" s="67"/>
      <c r="F154" s="67"/>
      <c r="G154" s="67"/>
      <c r="H154" s="67"/>
      <c r="I154" s="36">
        <f t="shared" si="0"/>
        <v>0</v>
      </c>
      <c r="J154" s="36"/>
      <c r="K154" s="36"/>
      <c r="L154" s="67"/>
      <c r="M154" s="194"/>
      <c r="N154" s="286" t="s">
        <v>1257</v>
      </c>
      <c r="O154" s="286">
        <v>1</v>
      </c>
      <c r="P154" s="286">
        <v>5</v>
      </c>
      <c r="Q154" s="12" t="s">
        <v>1245</v>
      </c>
    </row>
    <row r="155" spans="1:17" ht="12.5">
      <c r="A155" s="60"/>
      <c r="B155" s="60" t="s">
        <v>910</v>
      </c>
      <c r="C155" s="67"/>
      <c r="D155" s="67"/>
      <c r="E155" s="67"/>
      <c r="F155" s="67"/>
      <c r="G155" s="67"/>
      <c r="H155" s="67"/>
      <c r="I155" s="36">
        <f t="shared" si="0"/>
        <v>0</v>
      </c>
      <c r="J155" s="36"/>
      <c r="K155" s="36"/>
      <c r="L155" s="67"/>
      <c r="M155" s="60"/>
      <c r="N155" s="286" t="s">
        <v>1258</v>
      </c>
      <c r="O155" s="286">
        <v>1</v>
      </c>
      <c r="P155" s="286">
        <v>5</v>
      </c>
      <c r="Q155" s="12" t="s">
        <v>1245</v>
      </c>
    </row>
    <row r="156" spans="1:17" ht="12.5">
      <c r="A156" s="60" t="s">
        <v>1200</v>
      </c>
      <c r="B156" s="287" t="str">
        <f>HYPERLINK("http://codeforces.com/contest/122/problem/D","CF122-D2-D")</f>
        <v>CF122-D2-D</v>
      </c>
      <c r="C156" s="67"/>
      <c r="D156" s="67"/>
      <c r="E156" s="67"/>
      <c r="F156" s="67"/>
      <c r="G156" s="67"/>
      <c r="H156" s="67"/>
      <c r="I156" s="36">
        <f t="shared" si="0"/>
        <v>0</v>
      </c>
      <c r="J156" s="36"/>
      <c r="K156" s="36"/>
      <c r="L156" s="302"/>
      <c r="M156" s="191"/>
      <c r="N156" s="286" t="s">
        <v>1259</v>
      </c>
      <c r="O156" s="286">
        <v>1</v>
      </c>
      <c r="P156" s="286">
        <v>5</v>
      </c>
      <c r="Q156" s="12" t="s">
        <v>1245</v>
      </c>
    </row>
    <row r="157" spans="1:17" ht="12.5">
      <c r="A157" s="60"/>
      <c r="B157" s="60" t="s">
        <v>1041</v>
      </c>
      <c r="C157" s="67"/>
      <c r="D157" s="67"/>
      <c r="E157" s="67"/>
      <c r="F157" s="67"/>
      <c r="G157" s="67"/>
      <c r="H157" s="67"/>
      <c r="I157" s="36">
        <f t="shared" si="0"/>
        <v>0</v>
      </c>
      <c r="J157" s="67"/>
      <c r="K157" s="67"/>
      <c r="L157" s="302"/>
      <c r="M157" s="301" t="str">
        <f>HYPERLINK("https://github.com/mostafa-saad/MyCompetitiveProgramming/blob/master/SPOJ/SPOJ_PARSUMS.txt","Sol")</f>
        <v>Sol</v>
      </c>
      <c r="N157" s="286" t="s">
        <v>1260</v>
      </c>
      <c r="O157" s="286">
        <v>1</v>
      </c>
      <c r="P157" s="286">
        <v>5</v>
      </c>
      <c r="Q157" s="12" t="s">
        <v>1243</v>
      </c>
    </row>
    <row r="158" spans="1:17" ht="12.5">
      <c r="A158" s="60"/>
      <c r="B158" s="287" t="str">
        <f>HYPERLINK("https://www.codechef.com/LTIME64B/problems/OPPOSITE", "CODECHEF OPPOSITE")</f>
        <v>CODECHEF OPPOSITE</v>
      </c>
      <c r="C158" s="67"/>
      <c r="D158" s="67"/>
      <c r="E158" s="67"/>
      <c r="F158" s="67"/>
      <c r="G158" s="67"/>
      <c r="H158" s="67"/>
      <c r="I158" s="36">
        <f t="shared" si="0"/>
        <v>0</v>
      </c>
      <c r="J158" s="36"/>
      <c r="K158" s="36"/>
      <c r="L158" s="67"/>
      <c r="M158" s="60"/>
      <c r="N158" s="286" t="s">
        <v>1237</v>
      </c>
      <c r="O158" s="286">
        <v>1</v>
      </c>
      <c r="P158" s="286">
        <v>5</v>
      </c>
      <c r="Q158" s="12" t="s">
        <v>1243</v>
      </c>
    </row>
    <row r="159" spans="1:17" ht="12.5">
      <c r="A159" s="60"/>
      <c r="B159" s="60" t="s">
        <v>839</v>
      </c>
      <c r="C159" s="67"/>
      <c r="D159" s="67"/>
      <c r="E159" s="67"/>
      <c r="F159" s="67"/>
      <c r="G159" s="67"/>
      <c r="H159" s="67"/>
      <c r="I159" s="36">
        <f t="shared" si="0"/>
        <v>0</v>
      </c>
      <c r="J159" s="67"/>
      <c r="K159" s="67"/>
      <c r="L159" s="67"/>
      <c r="M159" s="286" t="s">
        <v>840</v>
      </c>
      <c r="N159" s="286" t="s">
        <v>1261</v>
      </c>
      <c r="O159" s="286">
        <v>1</v>
      </c>
      <c r="P159" s="286">
        <v>5</v>
      </c>
      <c r="Q159" s="12" t="s">
        <v>1243</v>
      </c>
    </row>
    <row r="160" spans="1:17" ht="12.5">
      <c r="A160" s="60" t="s">
        <v>1173</v>
      </c>
      <c r="B160" s="287" t="str">
        <f>HYPERLINK("http://codeforces.com/contest/298/problem/D","CF298-D2-D")</f>
        <v>CF298-D2-D</v>
      </c>
      <c r="C160" s="67"/>
      <c r="D160" s="67"/>
      <c r="E160" s="67"/>
      <c r="F160" s="67"/>
      <c r="G160" s="67"/>
      <c r="H160" s="67"/>
      <c r="I160" s="36">
        <f t="shared" si="0"/>
        <v>0</v>
      </c>
      <c r="J160" s="36"/>
      <c r="K160" s="36"/>
      <c r="L160" s="302"/>
      <c r="M160" s="28"/>
      <c r="N160" s="286" t="s">
        <v>1237</v>
      </c>
      <c r="O160" s="286">
        <v>1</v>
      </c>
      <c r="P160" s="286">
        <v>5</v>
      </c>
    </row>
    <row r="161" spans="1:17" ht="12.5">
      <c r="A161" s="60" t="s">
        <v>884</v>
      </c>
      <c r="B161" s="287" t="str">
        <f>HYPERLINK("http://codeforces.com/contest/63/problem/D","CF63-D2-D")</f>
        <v>CF63-D2-D</v>
      </c>
      <c r="C161" s="67"/>
      <c r="D161" s="67"/>
      <c r="E161" s="67"/>
      <c r="F161" s="67"/>
      <c r="G161" s="67"/>
      <c r="H161" s="67"/>
      <c r="I161" s="36">
        <f t="shared" si="0"/>
        <v>0</v>
      </c>
      <c r="J161" s="67"/>
      <c r="K161" s="67"/>
      <c r="L161" s="67"/>
      <c r="M161" s="28"/>
      <c r="N161" s="286" t="s">
        <v>1237</v>
      </c>
      <c r="O161" s="286">
        <v>1</v>
      </c>
      <c r="P161" s="286">
        <v>5</v>
      </c>
    </row>
    <row r="162" spans="1:17" ht="12.5">
      <c r="A162" s="60" t="s">
        <v>763</v>
      </c>
      <c r="B162" s="287" t="str">
        <f>HYPERLINK("http://codeforces.com/contest/591/problem/C","CF591-D2-C")</f>
        <v>CF591-D2-C</v>
      </c>
      <c r="C162" s="67"/>
      <c r="D162" s="67"/>
      <c r="E162" s="67"/>
      <c r="F162" s="67"/>
      <c r="G162" s="67"/>
      <c r="H162" s="67"/>
      <c r="I162" s="36">
        <f t="shared" si="0"/>
        <v>0</v>
      </c>
      <c r="J162" s="36"/>
      <c r="K162" s="36"/>
      <c r="L162" s="67"/>
      <c r="M162" s="287" t="str">
        <f>HYPERLINK("https://codeforces.com/blog/entry/21203","Editorial")</f>
        <v>Editorial</v>
      </c>
      <c r="N162" s="286" t="s">
        <v>1262</v>
      </c>
      <c r="O162" s="286">
        <v>1</v>
      </c>
      <c r="P162" s="286">
        <v>5</v>
      </c>
    </row>
    <row r="163" spans="1:17" ht="12.5">
      <c r="A163" s="60"/>
      <c r="B163" s="287" t="str">
        <f>HYPERLINK("http://codeforces.com/contest/23/problem/C","CF23-D12-C")</f>
        <v>CF23-D12-C</v>
      </c>
      <c r="C163" s="67"/>
      <c r="D163" s="67"/>
      <c r="E163" s="67"/>
      <c r="F163" s="67"/>
      <c r="G163" s="67"/>
      <c r="H163" s="67"/>
      <c r="I163" s="36">
        <f t="shared" si="0"/>
        <v>0</v>
      </c>
      <c r="J163" s="67"/>
      <c r="K163" s="67"/>
      <c r="L163" s="67"/>
      <c r="M163" s="116"/>
      <c r="N163" s="286" t="s">
        <v>1263</v>
      </c>
      <c r="O163" s="286">
        <v>1</v>
      </c>
      <c r="P163" s="286">
        <v>5.25</v>
      </c>
      <c r="Q163" s="12" t="s">
        <v>1245</v>
      </c>
    </row>
    <row r="164" spans="1:17" ht="12.5">
      <c r="A164" s="60"/>
      <c r="B164" s="287" t="str">
        <f>HYPERLINK("http://codeforces.com/gym/101589/problem/F","CF101589-GYM-F")</f>
        <v>CF101589-GYM-F</v>
      </c>
      <c r="C164" s="67"/>
      <c r="D164" s="67"/>
      <c r="E164" s="67"/>
      <c r="F164" s="67"/>
      <c r="G164" s="67"/>
      <c r="H164" s="67"/>
      <c r="I164" s="36">
        <f t="shared" si="0"/>
        <v>0</v>
      </c>
      <c r="J164" s="67"/>
      <c r="K164" s="67"/>
      <c r="L164" s="67"/>
      <c r="M164" s="216" t="str">
        <f>HYPERLINK("https://github.com/SpeedOfMagic/CompetitiveProgramming/blob/master/CodeforcesGym/CF101589-GYM-F.cpp","Sol")</f>
        <v>Sol</v>
      </c>
      <c r="N164" s="286" t="s">
        <v>1237</v>
      </c>
      <c r="O164" s="286">
        <v>1</v>
      </c>
      <c r="P164" s="286">
        <v>5.75</v>
      </c>
    </row>
    <row r="165" spans="1:17" ht="12.5">
      <c r="A165" s="60"/>
      <c r="B165" s="287" t="str">
        <f>HYPERLINK("https://beta.atcoder.jp/contests/arc092/tasks/arc092_b","Atcoder092-ARC-B")</f>
        <v>Atcoder092-ARC-B</v>
      </c>
      <c r="C165" s="67"/>
      <c r="D165" s="67"/>
      <c r="E165" s="67"/>
      <c r="F165" s="67"/>
      <c r="G165" s="67"/>
      <c r="H165" s="67"/>
      <c r="I165" s="36">
        <f t="shared" si="0"/>
        <v>0</v>
      </c>
      <c r="J165" s="67"/>
      <c r="K165" s="67"/>
      <c r="L165" s="67"/>
      <c r="M165" s="60"/>
      <c r="N165" s="286" t="s">
        <v>1264</v>
      </c>
      <c r="O165" s="286">
        <v>1</v>
      </c>
      <c r="P165" s="286">
        <v>6</v>
      </c>
      <c r="Q165" s="12" t="s">
        <v>1245</v>
      </c>
    </row>
    <row r="166" spans="1:17" ht="12.5">
      <c r="A166" s="60" t="s">
        <v>614</v>
      </c>
      <c r="B166" s="287" t="str">
        <f>HYPERLINK("https://uva.onlinejudge.org/index.php?option=com_onlinejudge&amp;Itemid=8&amp;page=show_problem&amp;problem=1285","UVA 10344")</f>
        <v>UVA 10344</v>
      </c>
      <c r="C166" s="67"/>
      <c r="D166" s="67"/>
      <c r="E166" s="67"/>
      <c r="F166" s="67"/>
      <c r="G166" s="67"/>
      <c r="H166" s="67"/>
      <c r="I166" s="36">
        <f t="shared" si="0"/>
        <v>0</v>
      </c>
      <c r="J166" s="36"/>
      <c r="K166" s="36"/>
      <c r="L166" s="67"/>
      <c r="M166" s="299" t="str">
        <f>HYPERLINK("https://www.youtube.com/watch?v=WX7rIgcgnBs","Video Solution - Eng Mohamed Nasser")</f>
        <v>Video Solution - Eng Mohamed Nasser</v>
      </c>
      <c r="N166" s="286" t="s">
        <v>1265</v>
      </c>
      <c r="O166" s="286">
        <v>2</v>
      </c>
      <c r="P166" s="286">
        <v>2</v>
      </c>
    </row>
    <row r="167" spans="1:17" ht="12.5">
      <c r="A167" s="60" t="s">
        <v>615</v>
      </c>
      <c r="B167" s="287" t="str">
        <f>HYPERLINK("https://uva.onlinejudge.org/index.php?option=com_onlinejudge&amp;Itemid=8&amp;page=show_problem&amp;problem=691","UVA 750")</f>
        <v>UVA 750</v>
      </c>
      <c r="C167" s="67"/>
      <c r="D167" s="67"/>
      <c r="E167" s="67"/>
      <c r="F167" s="67"/>
      <c r="G167" s="67"/>
      <c r="H167" s="67"/>
      <c r="I167" s="36">
        <f t="shared" si="0"/>
        <v>0</v>
      </c>
      <c r="J167" s="36"/>
      <c r="K167" s="36"/>
      <c r="L167" s="67"/>
      <c r="M167" s="299" t="str">
        <f>HYPERLINK("https://www.youtube.com/watch?v=3jMlUYEVgL0","Video Solution - Eng Ayman Salah")</f>
        <v>Video Solution - Eng Ayman Salah</v>
      </c>
      <c r="N167" s="286" t="s">
        <v>1265</v>
      </c>
      <c r="O167" s="286">
        <v>2</v>
      </c>
      <c r="P167" s="286">
        <v>4</v>
      </c>
    </row>
    <row r="168" spans="1:17" ht="12.5">
      <c r="A168" s="60" t="s">
        <v>613</v>
      </c>
      <c r="B168" s="287" t="str">
        <f>HYPERLINK("https://uva.onlinejudge.org/index.php?option=com_onlinejudge&amp;Itemid=8&amp;page=show_problem&amp;problem=129","UVA 193")</f>
        <v>UVA 193</v>
      </c>
      <c r="C168" s="67"/>
      <c r="D168" s="67"/>
      <c r="E168" s="67"/>
      <c r="F168" s="67"/>
      <c r="G168" s="67"/>
      <c r="H168" s="67"/>
      <c r="I168" s="36">
        <f t="shared" si="0"/>
        <v>0</v>
      </c>
      <c r="J168" s="36"/>
      <c r="K168" s="36"/>
      <c r="L168" s="67"/>
      <c r="M168" s="299" t="str">
        <f>HYPERLINK("https://www.youtube.com/watch?v=0hOK2hgqNE4","Video Solution - Dr Mostafa Saad")</f>
        <v>Video Solution - Dr Mostafa Saad</v>
      </c>
      <c r="N168" s="286" t="s">
        <v>1266</v>
      </c>
      <c r="O168" s="286">
        <v>2</v>
      </c>
      <c r="P168" s="286">
        <v>4</v>
      </c>
    </row>
    <row r="169" spans="1:17" ht="12.5">
      <c r="A169" s="60" t="s">
        <v>981</v>
      </c>
      <c r="B169" s="287" t="str">
        <f>HYPERLINK("http://codeforces.com/contest/47/problem/D","CF47-D2-D")</f>
        <v>CF47-D2-D</v>
      </c>
      <c r="C169" s="67"/>
      <c r="D169" s="67"/>
      <c r="E169" s="67"/>
      <c r="F169" s="67"/>
      <c r="G169" s="67"/>
      <c r="H169" s="67"/>
      <c r="I169" s="36">
        <f t="shared" si="0"/>
        <v>0</v>
      </c>
      <c r="J169" s="67"/>
      <c r="K169" s="67"/>
      <c r="L169" s="67"/>
      <c r="M169" s="28"/>
      <c r="N169" s="286" t="s">
        <v>1267</v>
      </c>
      <c r="O169" s="286">
        <v>2</v>
      </c>
      <c r="P169" s="286">
        <v>5</v>
      </c>
      <c r="Q169" s="12" t="s">
        <v>1245</v>
      </c>
    </row>
    <row r="170" spans="1:17" ht="12.5">
      <c r="A170" s="60" t="s">
        <v>1033</v>
      </c>
      <c r="B170" s="287" t="str">
        <f>HYPERLINK("https://uva.onlinejudge.org/index.php?option=com_onlinejudge&amp;Itemid=8&amp;page=show_problem&amp;problem=999","UVA 10058")</f>
        <v>UVA 10058</v>
      </c>
      <c r="C170" s="67"/>
      <c r="D170" s="67"/>
      <c r="E170" s="67"/>
      <c r="F170" s="67"/>
      <c r="G170" s="67"/>
      <c r="H170" s="67"/>
      <c r="I170" s="36">
        <f t="shared" si="0"/>
        <v>0</v>
      </c>
      <c r="J170" s="36"/>
      <c r="K170" s="36"/>
      <c r="L170" s="302"/>
      <c r="M170" s="301" t="str">
        <f>HYPERLINK("https://github.com/ackoroa/UVa-Solutions/blob/master/UVa%2010058%20-%20Jimmi's%20Riddles/src/Main.java","Sol")</f>
        <v>Sol</v>
      </c>
      <c r="N170" s="286" t="s">
        <v>1268</v>
      </c>
      <c r="O170" s="286">
        <v>3</v>
      </c>
      <c r="P170" s="286">
        <v>4</v>
      </c>
      <c r="Q170" s="12" t="s">
        <v>1245</v>
      </c>
    </row>
    <row r="171" spans="1:17" ht="12.5">
      <c r="A171" s="60" t="s">
        <v>1126</v>
      </c>
      <c r="B171" s="287" t="str">
        <f>HYPERLINK("https://uva.onlinejudge.org/index.php?option=onlinejudge&amp;page=show_problem&amp;problem=563","UVA 622")</f>
        <v>UVA 622</v>
      </c>
      <c r="C171" s="67"/>
      <c r="D171" s="67"/>
      <c r="E171" s="67"/>
      <c r="F171" s="67"/>
      <c r="G171" s="67"/>
      <c r="H171" s="67"/>
      <c r="I171" s="36">
        <f t="shared" si="0"/>
        <v>0</v>
      </c>
      <c r="J171" s="36"/>
      <c r="K171" s="36"/>
      <c r="L171" s="302"/>
      <c r="M171" s="216" t="str">
        <f>HYPERLINK("https://github.com/mostafa-saad/MyCompetitiveProgramming/blob/master/UVA/622.cpp","Sol")</f>
        <v>Sol</v>
      </c>
      <c r="N171" s="286" t="s">
        <v>1269</v>
      </c>
      <c r="O171" s="286">
        <v>3</v>
      </c>
      <c r="P171" s="286">
        <v>5</v>
      </c>
      <c r="Q171" s="12" t="s">
        <v>1270</v>
      </c>
    </row>
    <row r="172" spans="1:17" ht="12.5">
      <c r="A172" s="60" t="s">
        <v>260</v>
      </c>
      <c r="B172" s="287" t="str">
        <f>HYPERLINK("http://codeforces.com/contest/143/problem/A","CF143-D2-A")</f>
        <v>CF143-D2-A</v>
      </c>
      <c r="C172" s="67"/>
      <c r="D172" s="67"/>
      <c r="E172" s="67"/>
      <c r="F172" s="67"/>
      <c r="G172" s="67"/>
      <c r="H172" s="67"/>
      <c r="I172" s="36">
        <f t="shared" si="0"/>
        <v>0</v>
      </c>
      <c r="J172" s="93"/>
      <c r="K172" s="36"/>
      <c r="L172" s="93"/>
      <c r="M172" s="293" t="str">
        <f>HYPERLINK("https://www.youtube.com/watch?v=cmMkGSMHTKE","Video Solution - Eng John Gamal")</f>
        <v>Video Solution - Eng John Gamal</v>
      </c>
      <c r="N172" s="286" t="s">
        <v>1271</v>
      </c>
      <c r="O172" s="286">
        <v>5</v>
      </c>
      <c r="P172" s="191">
        <v>1.5</v>
      </c>
    </row>
    <row r="173" spans="1:17" ht="12.5">
      <c r="A173" s="60" t="s">
        <v>1272</v>
      </c>
      <c r="B173" s="287" t="str">
        <f>HYPERLINK("http://codeforces.com/contest/560/problem/B","CF560-D2-B")</f>
        <v>CF560-D2-B</v>
      </c>
      <c r="C173" s="67"/>
      <c r="D173" s="67"/>
      <c r="E173" s="67"/>
      <c r="F173" s="67"/>
      <c r="G173" s="67"/>
      <c r="H173" s="67"/>
      <c r="I173" s="36">
        <f t="shared" si="0"/>
        <v>0</v>
      </c>
      <c r="J173" s="67"/>
      <c r="K173" s="67"/>
      <c r="L173" s="67"/>
      <c r="M173" s="296"/>
      <c r="N173" s="286" t="s">
        <v>1271</v>
      </c>
      <c r="O173" s="286">
        <v>5</v>
      </c>
      <c r="P173" s="191">
        <v>2</v>
      </c>
    </row>
    <row r="174" spans="1:17" ht="12.5">
      <c r="A174" s="60" t="s">
        <v>624</v>
      </c>
      <c r="B174" s="287" t="str">
        <f>HYPERLINK("http://codeforces.com/contest/570/problem/B","CF570-D2-B")</f>
        <v>CF570-D2-B</v>
      </c>
      <c r="C174" s="67"/>
      <c r="D174" s="67"/>
      <c r="E174" s="67"/>
      <c r="F174" s="67"/>
      <c r="G174" s="67"/>
      <c r="H174" s="67"/>
      <c r="I174" s="36">
        <f t="shared" si="0"/>
        <v>0</v>
      </c>
      <c r="J174" s="36"/>
      <c r="K174" s="36"/>
      <c r="L174" s="67"/>
      <c r="M174" s="286"/>
      <c r="N174" s="286" t="s">
        <v>1271</v>
      </c>
      <c r="O174" s="286">
        <v>5</v>
      </c>
      <c r="P174" s="191">
        <v>2</v>
      </c>
    </row>
    <row r="175" spans="1:17" ht="12.5">
      <c r="A175" s="60" t="s">
        <v>431</v>
      </c>
      <c r="B175" s="287" t="str">
        <f>HYPERLINK("http://codeforces.com/contest/129/problem/B","CF129-D2-B")</f>
        <v>CF129-D2-B</v>
      </c>
      <c r="C175" s="67"/>
      <c r="D175" s="67"/>
      <c r="E175" s="67"/>
      <c r="F175" s="67"/>
      <c r="G175" s="67"/>
      <c r="H175" s="67"/>
      <c r="I175" s="36">
        <f t="shared" si="0"/>
        <v>0</v>
      </c>
      <c r="J175" s="36"/>
      <c r="K175" s="36"/>
      <c r="L175" s="67"/>
      <c r="M175" s="290" t="str">
        <f>HYPERLINK("https://www.youtube.com/watch?v=si51JINxbpk&amp;feature=youtu.be","Video Solution - Eng Abanob Ashraf")</f>
        <v>Video Solution - Eng Abanob Ashraf</v>
      </c>
      <c r="N175" s="191" t="s">
        <v>1271</v>
      </c>
      <c r="O175" s="191">
        <v>5</v>
      </c>
      <c r="P175" s="286">
        <v>2</v>
      </c>
    </row>
    <row r="176" spans="1:17" ht="12.5">
      <c r="A176" s="60" t="s">
        <v>753</v>
      </c>
      <c r="B176" s="287" t="str">
        <f>HYPERLINK("http://codeforces.com/contest/430/problem/B","CF430-D2-B")</f>
        <v>CF430-D2-B</v>
      </c>
      <c r="C176" s="67"/>
      <c r="D176" s="67"/>
      <c r="E176" s="67"/>
      <c r="F176" s="67"/>
      <c r="G176" s="67"/>
      <c r="H176" s="67"/>
      <c r="I176" s="36">
        <f t="shared" si="0"/>
        <v>0</v>
      </c>
      <c r="J176" s="36"/>
      <c r="K176" s="36"/>
      <c r="L176" s="67"/>
      <c r="M176" s="28"/>
      <c r="N176" s="286" t="s">
        <v>1273</v>
      </c>
      <c r="O176" s="286">
        <v>5</v>
      </c>
      <c r="P176" s="191">
        <v>3</v>
      </c>
      <c r="Q176" s="12" t="s">
        <v>1243</v>
      </c>
    </row>
    <row r="177" spans="1:17" ht="12.5">
      <c r="A177" s="60" t="s">
        <v>680</v>
      </c>
      <c r="B177" s="287" t="str">
        <f>HYPERLINK("http://codeforces.com/contest/189/problem/A","CF189-D2-A")</f>
        <v>CF189-D2-A</v>
      </c>
      <c r="C177" s="67"/>
      <c r="D177" s="67"/>
      <c r="E177" s="67"/>
      <c r="F177" s="67"/>
      <c r="G177" s="67"/>
      <c r="H177" s="67"/>
      <c r="I177" s="36">
        <f t="shared" si="0"/>
        <v>0</v>
      </c>
      <c r="J177" s="36"/>
      <c r="K177" s="36"/>
      <c r="L177" s="67"/>
      <c r="M177" s="290" t="str">
        <f>HYPERLINK("https://www.youtube.com/watch?v=4VBt8sKocyw","Video Solution - Solver to be (Java)")</f>
        <v>Video Solution - Solver to be (Java)</v>
      </c>
      <c r="N177" s="286" t="s">
        <v>1271</v>
      </c>
      <c r="O177" s="286">
        <v>5</v>
      </c>
      <c r="P177" s="286">
        <v>3</v>
      </c>
    </row>
    <row r="178" spans="1:17" ht="12.5">
      <c r="A178" s="60" t="s">
        <v>606</v>
      </c>
      <c r="B178" s="287" t="str">
        <f>HYPERLINK("http://codeforces.com/contest/402/problem/C","CF402-D2-C")</f>
        <v>CF402-D2-C</v>
      </c>
      <c r="C178" s="67"/>
      <c r="D178" s="67"/>
      <c r="E178" s="67"/>
      <c r="F178" s="67"/>
      <c r="G178" s="67"/>
      <c r="H178" s="67"/>
      <c r="I178" s="36">
        <f t="shared" si="0"/>
        <v>0</v>
      </c>
      <c r="J178" s="36"/>
      <c r="K178" s="36"/>
      <c r="L178" s="67"/>
      <c r="M178" s="286"/>
      <c r="N178" s="286" t="s">
        <v>1274</v>
      </c>
      <c r="O178" s="286">
        <v>5</v>
      </c>
      <c r="P178" s="286">
        <v>3</v>
      </c>
    </row>
    <row r="179" spans="1:17" ht="12.5">
      <c r="A179" s="60" t="s">
        <v>761</v>
      </c>
      <c r="B179" s="287" t="str">
        <f>HYPERLINK("http://codeforces.com/contest/63/problem/C","CF63-D2-C")</f>
        <v>CF63-D2-C</v>
      </c>
      <c r="C179" s="67"/>
      <c r="D179" s="67"/>
      <c r="E179" s="67"/>
      <c r="F179" s="67"/>
      <c r="G179" s="67"/>
      <c r="H179" s="67"/>
      <c r="I179" s="36">
        <f t="shared" si="0"/>
        <v>0</v>
      </c>
      <c r="J179" s="36"/>
      <c r="K179" s="36"/>
      <c r="L179" s="67"/>
      <c r="M179" s="301" t="str">
        <f>HYPERLINK("https://github.com/ilyesG/Competitive-Programming/blob/master/CodeForces/CF63-D2-C.cpp","Sol")</f>
        <v>Sol</v>
      </c>
      <c r="N179" s="286" t="s">
        <v>1275</v>
      </c>
      <c r="O179" s="286">
        <v>5</v>
      </c>
      <c r="P179" s="286">
        <v>4</v>
      </c>
      <c r="Q179" s="12" t="s">
        <v>1243</v>
      </c>
    </row>
    <row r="180" spans="1:17" ht="12.5">
      <c r="A180" s="60" t="s">
        <v>1121</v>
      </c>
      <c r="B180" s="287" t="str">
        <f>HYPERLINK("http://codeforces.com/contest/255/problem/C","CF255-D2-C")</f>
        <v>CF255-D2-C</v>
      </c>
      <c r="C180" s="67"/>
      <c r="D180" s="67"/>
      <c r="E180" s="67"/>
      <c r="F180" s="67"/>
      <c r="G180" s="67"/>
      <c r="H180" s="67"/>
      <c r="I180" s="36">
        <f t="shared" si="0"/>
        <v>0</v>
      </c>
      <c r="J180" s="67"/>
      <c r="K180" s="67"/>
      <c r="L180" s="302"/>
      <c r="M180" s="28"/>
      <c r="N180" s="286" t="s">
        <v>1271</v>
      </c>
      <c r="O180" s="286">
        <v>5</v>
      </c>
      <c r="P180" s="286">
        <v>4</v>
      </c>
    </row>
    <row r="181" spans="1:17" ht="12.5">
      <c r="A181" s="60" t="s">
        <v>883</v>
      </c>
      <c r="B181" s="287" t="str">
        <f>HYPERLINK("http://codeforces.com/contest/118/problem/C","CF118-D2-C")</f>
        <v>CF118-D2-C</v>
      </c>
      <c r="C181" s="67"/>
      <c r="D181" s="67"/>
      <c r="E181" s="67"/>
      <c r="F181" s="67"/>
      <c r="G181" s="67"/>
      <c r="H181" s="67"/>
      <c r="I181" s="36">
        <f t="shared" si="0"/>
        <v>0</v>
      </c>
      <c r="J181" s="36"/>
      <c r="K181" s="36"/>
      <c r="L181" s="67"/>
      <c r="M181" s="60"/>
      <c r="N181" s="286" t="s">
        <v>1276</v>
      </c>
      <c r="O181" s="286">
        <v>5</v>
      </c>
      <c r="P181" s="286">
        <v>4</v>
      </c>
    </row>
    <row r="182" spans="1:17" ht="12.5">
      <c r="A182" s="60" t="s">
        <v>865</v>
      </c>
      <c r="B182" s="287" t="str">
        <f>HYPERLINK("http://codeforces.com/contest/672/problem/C","CF672-D2-C")</f>
        <v>CF672-D2-C</v>
      </c>
      <c r="C182" s="67"/>
      <c r="D182" s="67"/>
      <c r="E182" s="67"/>
      <c r="F182" s="67"/>
      <c r="G182" s="67"/>
      <c r="H182" s="67"/>
      <c r="I182" s="36">
        <f t="shared" si="0"/>
        <v>0</v>
      </c>
      <c r="J182" s="36"/>
      <c r="K182" s="36"/>
      <c r="L182" s="67"/>
      <c r="M182" s="60"/>
      <c r="N182" s="286" t="s">
        <v>1276</v>
      </c>
      <c r="O182" s="286">
        <v>5</v>
      </c>
      <c r="P182" s="286">
        <v>4</v>
      </c>
    </row>
    <row r="183" spans="1:17" ht="12.5">
      <c r="A183" s="60" t="s">
        <v>987</v>
      </c>
      <c r="B183" s="287" t="str">
        <f>HYPERLINK("http://codeforces.com/contest/439/problem/C","CF439-D2-C")</f>
        <v>CF439-D2-C</v>
      </c>
      <c r="C183" s="67"/>
      <c r="D183" s="67"/>
      <c r="E183" s="67"/>
      <c r="F183" s="67"/>
      <c r="G183" s="67"/>
      <c r="H183" s="67"/>
      <c r="I183" s="36">
        <f t="shared" si="0"/>
        <v>0</v>
      </c>
      <c r="J183" s="67"/>
      <c r="K183" s="67"/>
      <c r="L183" s="67"/>
      <c r="M183" s="296"/>
      <c r="N183" s="286" t="s">
        <v>1277</v>
      </c>
      <c r="O183" s="286">
        <v>5</v>
      </c>
      <c r="P183" s="286">
        <v>4</v>
      </c>
    </row>
    <row r="184" spans="1:17" ht="12.5">
      <c r="A184" s="60" t="s">
        <v>1026</v>
      </c>
      <c r="B184" s="287" t="str">
        <f>HYPERLINK("http://codeforces.com/contest/200/problem/C","CF200-D2-C")</f>
        <v>CF200-D2-C</v>
      </c>
      <c r="C184" s="67"/>
      <c r="D184" s="67"/>
      <c r="E184" s="67"/>
      <c r="F184" s="67"/>
      <c r="G184" s="67"/>
      <c r="H184" s="67"/>
      <c r="I184" s="36">
        <f t="shared" si="0"/>
        <v>0</v>
      </c>
      <c r="J184" s="36"/>
      <c r="K184" s="36"/>
      <c r="L184" s="67"/>
      <c r="M184" s="60"/>
      <c r="N184" s="286" t="s">
        <v>1275</v>
      </c>
      <c r="O184" s="286">
        <v>5</v>
      </c>
      <c r="P184" s="286">
        <v>4</v>
      </c>
    </row>
    <row r="185" spans="1:17" ht="12.5">
      <c r="A185" s="60" t="s">
        <v>732</v>
      </c>
      <c r="B185" s="287" t="str">
        <f>HYPERLINK("http://codeforces.com/contest/368/problem/C","CF368-D2-C")</f>
        <v>CF368-D2-C</v>
      </c>
      <c r="C185" s="67"/>
      <c r="D185" s="67"/>
      <c r="E185" s="67"/>
      <c r="F185" s="67"/>
      <c r="G185" s="67"/>
      <c r="H185" s="67"/>
      <c r="I185" s="36">
        <f t="shared" si="0"/>
        <v>0</v>
      </c>
      <c r="J185" s="36"/>
      <c r="K185" s="36"/>
      <c r="L185" s="67"/>
      <c r="M185" s="286"/>
      <c r="N185" s="286" t="s">
        <v>1275</v>
      </c>
      <c r="O185" s="286">
        <v>5</v>
      </c>
      <c r="P185" s="286">
        <v>4</v>
      </c>
    </row>
    <row r="186" spans="1:17" ht="12.5">
      <c r="A186" s="60" t="s">
        <v>988</v>
      </c>
      <c r="B186" s="287" t="str">
        <f>HYPERLINK("http://codeforces.com/contest/557/problem/C","CF557-D2-C")</f>
        <v>CF557-D2-C</v>
      </c>
      <c r="C186" s="67"/>
      <c r="D186" s="67"/>
      <c r="E186" s="67"/>
      <c r="F186" s="67"/>
      <c r="G186" s="67"/>
      <c r="H186" s="67"/>
      <c r="I186" s="36">
        <f t="shared" si="0"/>
        <v>0</v>
      </c>
      <c r="J186" s="67"/>
      <c r="K186" s="67"/>
      <c r="L186" s="67"/>
      <c r="M186" s="296"/>
      <c r="N186" s="286" t="s">
        <v>1278</v>
      </c>
      <c r="O186" s="286">
        <v>5</v>
      </c>
      <c r="P186" s="286">
        <v>4.5</v>
      </c>
      <c r="Q186" s="12"/>
    </row>
    <row r="187" spans="1:17" ht="12.5">
      <c r="A187" s="60"/>
      <c r="B187" s="287" t="str">
        <f>HYPERLINK("http://codeforces.com/contest/1036/problem/C","CF1036-D2-C")</f>
        <v>CF1036-D2-C</v>
      </c>
      <c r="C187" s="67"/>
      <c r="D187" s="67"/>
      <c r="E187" s="67"/>
      <c r="F187" s="67"/>
      <c r="G187" s="67"/>
      <c r="H187" s="67"/>
      <c r="I187" s="36">
        <f t="shared" si="0"/>
        <v>0</v>
      </c>
      <c r="J187" s="36"/>
      <c r="K187" s="36"/>
      <c r="L187" s="67"/>
      <c r="M187" s="28"/>
      <c r="N187" s="286" t="s">
        <v>1279</v>
      </c>
      <c r="O187" s="286">
        <v>5</v>
      </c>
      <c r="P187" s="286">
        <v>4.5</v>
      </c>
      <c r="Q187" s="12" t="s">
        <v>1243</v>
      </c>
    </row>
    <row r="188" spans="1:17" ht="12.5">
      <c r="A188" s="60" t="s">
        <v>853</v>
      </c>
      <c r="B188" s="287" t="str">
        <f>HYPERLINK("http://codeforces.com/contest/365/problem/C","CF365-D2-C")</f>
        <v>CF365-D2-C</v>
      </c>
      <c r="C188" s="67"/>
      <c r="D188" s="67"/>
      <c r="E188" s="67"/>
      <c r="F188" s="67"/>
      <c r="G188" s="67"/>
      <c r="H188" s="67"/>
      <c r="I188" s="36">
        <f t="shared" si="0"/>
        <v>0</v>
      </c>
      <c r="J188" s="36"/>
      <c r="K188" s="36"/>
      <c r="L188" s="67"/>
      <c r="M188" s="60"/>
      <c r="N188" s="286" t="s">
        <v>1280</v>
      </c>
      <c r="O188" s="286">
        <v>5</v>
      </c>
      <c r="P188" s="286">
        <v>4.5</v>
      </c>
      <c r="Q188" s="12" t="s">
        <v>1239</v>
      </c>
    </row>
    <row r="189" spans="1:17" ht="12.5">
      <c r="A189" s="60" t="s">
        <v>654</v>
      </c>
      <c r="B189" s="287" t="str">
        <f>HYPERLINK("http://codeforces.com/contest/496/problem/C","CF496-D2-C")</f>
        <v>CF496-D2-C</v>
      </c>
      <c r="C189" s="67"/>
      <c r="D189" s="67"/>
      <c r="E189" s="67"/>
      <c r="F189" s="67"/>
      <c r="G189" s="67"/>
      <c r="H189" s="67"/>
      <c r="I189" s="36">
        <f t="shared" si="0"/>
        <v>0</v>
      </c>
      <c r="J189" s="36"/>
      <c r="K189" s="36"/>
      <c r="L189" s="67"/>
      <c r="M189" s="303" t="str">
        <f>HYPERLINK("https://www.youtube.com/watch?v=skSCRsMLPMI","Video Solution - Dr Mostafa Saad")</f>
        <v>Video Solution - Dr Mostafa Saad</v>
      </c>
      <c r="N189" s="286" t="s">
        <v>1271</v>
      </c>
      <c r="O189" s="286">
        <v>5</v>
      </c>
      <c r="P189" s="286">
        <v>4.5</v>
      </c>
    </row>
    <row r="190" spans="1:17" ht="12.5">
      <c r="A190" s="60"/>
      <c r="B190" s="60" t="s">
        <v>1137</v>
      </c>
      <c r="C190" s="67"/>
      <c r="D190" s="67"/>
      <c r="E190" s="67"/>
      <c r="F190" s="67"/>
      <c r="G190" s="67"/>
      <c r="H190" s="67"/>
      <c r="I190" s="36">
        <f t="shared" si="0"/>
        <v>0</v>
      </c>
      <c r="J190" s="67"/>
      <c r="K190" s="67"/>
      <c r="L190" s="302"/>
      <c r="M190" s="191"/>
      <c r="N190" s="286" t="s">
        <v>1281</v>
      </c>
      <c r="O190" s="286">
        <v>5</v>
      </c>
      <c r="P190" s="286">
        <v>5</v>
      </c>
      <c r="Q190" s="12" t="s">
        <v>1245</v>
      </c>
    </row>
    <row r="191" spans="1:17" ht="12.5">
      <c r="A191" s="60"/>
      <c r="B191" s="60" t="s">
        <v>932</v>
      </c>
      <c r="C191" s="67"/>
      <c r="D191" s="67"/>
      <c r="E191" s="67"/>
      <c r="F191" s="67"/>
      <c r="G191" s="67"/>
      <c r="H191" s="67"/>
      <c r="I191" s="36">
        <f t="shared" si="0"/>
        <v>0</v>
      </c>
      <c r="J191" s="67"/>
      <c r="K191" s="67"/>
      <c r="L191" s="67"/>
      <c r="M191" s="216" t="str">
        <f>HYPERLINK("https://github.com/ilyesG/Competitive-Programming/blob/master/UVA/UVA%2010705.cpp","Sol")</f>
        <v>Sol</v>
      </c>
      <c r="N191" s="286" t="s">
        <v>1282</v>
      </c>
      <c r="O191" s="286">
        <v>5</v>
      </c>
      <c r="P191" s="286">
        <v>5</v>
      </c>
      <c r="Q191" s="12" t="s">
        <v>1245</v>
      </c>
    </row>
    <row r="192" spans="1:17" ht="12.5">
      <c r="A192" s="60" t="s">
        <v>1144</v>
      </c>
      <c r="B192" s="287" t="str">
        <f>HYPERLINK("http://codeforces.com/contest/146/problem/D","CF146-D2-D")</f>
        <v>CF146-D2-D</v>
      </c>
      <c r="C192" s="67"/>
      <c r="D192" s="67"/>
      <c r="E192" s="67"/>
      <c r="F192" s="67"/>
      <c r="G192" s="67"/>
      <c r="H192" s="67"/>
      <c r="I192" s="36">
        <f t="shared" si="0"/>
        <v>0</v>
      </c>
      <c r="J192" s="67"/>
      <c r="K192" s="67"/>
      <c r="L192" s="302"/>
      <c r="M192" s="28"/>
      <c r="N192" s="286" t="s">
        <v>1283</v>
      </c>
      <c r="O192" s="286">
        <v>5</v>
      </c>
      <c r="P192" s="286">
        <v>5</v>
      </c>
      <c r="Q192" s="12" t="s">
        <v>1243</v>
      </c>
    </row>
    <row r="193" spans="1:17" ht="12.5">
      <c r="A193" s="60" t="s">
        <v>1049</v>
      </c>
      <c r="B193" s="287" t="str">
        <f>HYPERLINK("http://codeforces.com/contest/361/problem/C","CF361-D2-C")</f>
        <v>CF361-D2-C</v>
      </c>
      <c r="C193" s="67"/>
      <c r="D193" s="67"/>
      <c r="E193" s="67"/>
      <c r="F193" s="67"/>
      <c r="G193" s="67"/>
      <c r="H193" s="67"/>
      <c r="I193" s="36">
        <f t="shared" si="0"/>
        <v>0</v>
      </c>
      <c r="J193" s="67"/>
      <c r="K193" s="67"/>
      <c r="L193" s="67"/>
      <c r="M193" s="28"/>
      <c r="N193" s="286" t="s">
        <v>1276</v>
      </c>
      <c r="O193" s="286">
        <v>5</v>
      </c>
      <c r="P193" s="286">
        <v>5</v>
      </c>
      <c r="Q193" s="12" t="s">
        <v>1243</v>
      </c>
    </row>
    <row r="194" spans="1:17" ht="12.5">
      <c r="A194" s="60"/>
      <c r="B194" s="287" t="str">
        <f>HYPERLINK("http://codeforces.com/problemset/problem/1017/D","CF1017-D12-D")</f>
        <v>CF1017-D12-D</v>
      </c>
      <c r="C194" s="67"/>
      <c r="D194" s="67"/>
      <c r="E194" s="67"/>
      <c r="F194" s="67"/>
      <c r="G194" s="67"/>
      <c r="H194" s="67"/>
      <c r="I194" s="36">
        <f t="shared" si="0"/>
        <v>0</v>
      </c>
      <c r="J194" s="36"/>
      <c r="K194" s="36"/>
      <c r="L194" s="302"/>
      <c r="M194" s="28"/>
      <c r="N194" s="286" t="s">
        <v>1284</v>
      </c>
      <c r="O194" s="286">
        <v>5</v>
      </c>
      <c r="P194" s="286">
        <v>5.5</v>
      </c>
      <c r="Q194" s="12" t="s">
        <v>1245</v>
      </c>
    </row>
    <row r="195" spans="1:17" ht="12.5">
      <c r="A195" s="60"/>
      <c r="B195" s="287" t="str">
        <f>HYPERLINK("http://codeforces.com/contest/621/problem/D","CF621-D2-D")</f>
        <v>CF621-D2-D</v>
      </c>
      <c r="C195" s="67"/>
      <c r="D195" s="67"/>
      <c r="E195" s="67"/>
      <c r="F195" s="67"/>
      <c r="G195" s="67"/>
      <c r="H195" s="67"/>
      <c r="I195" s="36">
        <f t="shared" si="0"/>
        <v>0</v>
      </c>
      <c r="J195" s="67"/>
      <c r="K195" s="67"/>
      <c r="L195" s="67"/>
      <c r="M195" s="216" t="str">
        <f>HYPERLINK("https://github.com/MedoN11/CompetitiveProgramming/blob/master/CodeForces/CF621-D2-D-Complex.cpp","Sol")</f>
        <v>Sol</v>
      </c>
      <c r="N195" s="286" t="s">
        <v>1285</v>
      </c>
      <c r="O195" s="286">
        <v>5</v>
      </c>
      <c r="P195" s="286">
        <v>5.5</v>
      </c>
      <c r="Q195" s="12" t="s">
        <v>1243</v>
      </c>
    </row>
    <row r="196" spans="1:17" ht="12.5">
      <c r="A196" s="60"/>
      <c r="B196" s="60" t="s">
        <v>915</v>
      </c>
      <c r="C196" s="67"/>
      <c r="D196" s="67"/>
      <c r="E196" s="67"/>
      <c r="F196" s="67"/>
      <c r="G196" s="67"/>
      <c r="H196" s="67"/>
      <c r="I196" s="36">
        <f t="shared" si="0"/>
        <v>0</v>
      </c>
      <c r="J196" s="36"/>
      <c r="K196" s="36"/>
      <c r="L196" s="67"/>
      <c r="M196" s="60"/>
      <c r="N196" s="286" t="s">
        <v>1286</v>
      </c>
      <c r="O196" s="286">
        <v>5</v>
      </c>
      <c r="P196" s="286">
        <v>5.5</v>
      </c>
      <c r="Q196" s="12" t="s">
        <v>1243</v>
      </c>
    </row>
    <row r="197" spans="1:17" ht="12.5">
      <c r="A197" s="60"/>
      <c r="B197" s="287" t="str">
        <f>HYPERLINK("http://codeforces.com/contest/633/problem/D","CF633-D12-D")</f>
        <v>CF633-D12-D</v>
      </c>
      <c r="C197" s="67"/>
      <c r="D197" s="67"/>
      <c r="E197" s="67"/>
      <c r="F197" s="67"/>
      <c r="G197" s="67"/>
      <c r="H197" s="67"/>
      <c r="I197" s="36">
        <f t="shared" si="0"/>
        <v>0</v>
      </c>
      <c r="J197" s="67"/>
      <c r="K197" s="67"/>
      <c r="L197" s="67"/>
      <c r="M197" s="191"/>
      <c r="N197" s="286" t="s">
        <v>1287</v>
      </c>
      <c r="O197" s="286">
        <v>5</v>
      </c>
      <c r="P197" s="286">
        <v>5.5</v>
      </c>
      <c r="Q197" s="12" t="s">
        <v>1243</v>
      </c>
    </row>
    <row r="198" spans="1:17" ht="12.5">
      <c r="A198" s="60"/>
      <c r="B198" s="60" t="s">
        <v>1079</v>
      </c>
      <c r="C198" s="67"/>
      <c r="D198" s="67"/>
      <c r="E198" s="67"/>
      <c r="F198" s="67"/>
      <c r="G198" s="67"/>
      <c r="H198" s="67"/>
      <c r="I198" s="36">
        <f t="shared" si="0"/>
        <v>0</v>
      </c>
      <c r="J198" s="36"/>
      <c r="K198" s="36"/>
      <c r="L198" s="302"/>
      <c r="M198" s="286"/>
      <c r="N198" s="286" t="s">
        <v>1288</v>
      </c>
      <c r="O198" s="286">
        <v>5</v>
      </c>
      <c r="P198" s="286">
        <v>5.5</v>
      </c>
      <c r="Q198" s="12" t="s">
        <v>1245</v>
      </c>
    </row>
    <row r="199" spans="1:17" ht="12.5">
      <c r="A199" s="60" t="s">
        <v>272</v>
      </c>
      <c r="B199" s="287" t="str">
        <f>HYPERLINK("http://codeforces.com/contest/287/problem/B","CF287-D2-B")</f>
        <v>CF287-D2-B</v>
      </c>
      <c r="C199" s="67"/>
      <c r="D199" s="67"/>
      <c r="E199" s="67"/>
      <c r="F199" s="67"/>
      <c r="G199" s="67"/>
      <c r="H199" s="67"/>
      <c r="I199" s="36">
        <f t="shared" si="0"/>
        <v>0</v>
      </c>
      <c r="J199" s="93"/>
      <c r="K199" s="36"/>
      <c r="L199" s="93"/>
      <c r="M199" s="293" t="str">
        <f>HYPERLINK("https://www.youtube.com/watch?v=mhrz7F01Vqs","Video Solution - Dr Mostafa Saad")</f>
        <v>Video Solution - Dr Mostafa Saad</v>
      </c>
      <c r="N199" s="286" t="s">
        <v>1289</v>
      </c>
      <c r="O199" s="286">
        <v>6</v>
      </c>
      <c r="P199" s="191">
        <v>2.5</v>
      </c>
    </row>
    <row r="200" spans="1:17" ht="12.5">
      <c r="A200" s="60" t="s">
        <v>413</v>
      </c>
      <c r="B200" s="287" t="str">
        <f>HYPERLINK("http://codeforces.com/contest/492/problem/B","CF492-D2-B")</f>
        <v>CF492-D2-B</v>
      </c>
      <c r="C200" s="67"/>
      <c r="D200" s="67"/>
      <c r="E200" s="67"/>
      <c r="F200" s="67"/>
      <c r="G200" s="67"/>
      <c r="H200" s="67"/>
      <c r="I200" s="36">
        <f t="shared" si="0"/>
        <v>0</v>
      </c>
      <c r="J200" s="36"/>
      <c r="K200" s="36"/>
      <c r="L200" s="67"/>
      <c r="M200" s="296" t="str">
        <f>HYPERLINK("https://www.youtube.com/watch?v=i4fMKTt8e84","Video Solution - Solver to be (Java)")</f>
        <v>Video Solution - Solver to be (Java)</v>
      </c>
      <c r="N200" s="191" t="s">
        <v>1290</v>
      </c>
      <c r="O200" s="191">
        <v>6</v>
      </c>
      <c r="P200" s="286">
        <v>2.5</v>
      </c>
      <c r="Q200" s="12" t="s">
        <v>1243</v>
      </c>
    </row>
    <row r="201" spans="1:17" ht="12.5">
      <c r="A201" s="60" t="s">
        <v>274</v>
      </c>
      <c r="B201" s="287" t="str">
        <f>HYPERLINK("http://www.spoj.com/problems/AGGRCOW/","SPOJ AGGRCOW")</f>
        <v>SPOJ AGGRCOW</v>
      </c>
      <c r="C201" s="67"/>
      <c r="D201" s="67"/>
      <c r="E201" s="67"/>
      <c r="F201" s="67"/>
      <c r="G201" s="67"/>
      <c r="H201" s="67"/>
      <c r="I201" s="36">
        <f t="shared" si="0"/>
        <v>0</v>
      </c>
      <c r="J201" s="67"/>
      <c r="K201" s="36"/>
      <c r="L201" s="67"/>
      <c r="M201" s="54" t="str">
        <f>HYPERLINK("https://www.youtube.com/watch?v=2R9L6mVal9U","Video Solution - Eng Youssef El Ghareeb")</f>
        <v>Video Solution - Eng Youssef El Ghareeb</v>
      </c>
      <c r="N201" s="286" t="s">
        <v>1289</v>
      </c>
      <c r="O201" s="286">
        <v>6</v>
      </c>
      <c r="P201" s="286">
        <v>3</v>
      </c>
    </row>
    <row r="202" spans="1:17" ht="12.5">
      <c r="A202" s="60" t="s">
        <v>500</v>
      </c>
      <c r="B202" s="287" t="str">
        <f>HYPERLINK("https://uva.onlinejudge.org/index.php?option=onlinejudge&amp;page=show_problem&amp;problem=1217","UVA 10276")</f>
        <v>UVA 10276</v>
      </c>
      <c r="C202" s="67"/>
      <c r="D202" s="67"/>
      <c r="E202" s="67"/>
      <c r="F202" s="67"/>
      <c r="G202" s="67"/>
      <c r="H202" s="67"/>
      <c r="I202" s="36">
        <f t="shared" si="0"/>
        <v>0</v>
      </c>
      <c r="J202" s="36"/>
      <c r="K202" s="36"/>
      <c r="L202" s="67"/>
      <c r="M202" s="137" t="str">
        <f>HYPERLINK("https://www.youtube.com/watch?v=ygWfse3bBLI&amp;feature=youtu.be","Video Solution - Eng Mahmoud Adel")</f>
        <v>Video Solution - Eng Mahmoud Adel</v>
      </c>
      <c r="N202" s="286" t="s">
        <v>1291</v>
      </c>
      <c r="O202" s="286">
        <v>6</v>
      </c>
      <c r="P202" s="286">
        <v>3.5</v>
      </c>
    </row>
    <row r="203" spans="1:17" ht="12.5">
      <c r="A203" s="60" t="s">
        <v>460</v>
      </c>
      <c r="B203" s="287" t="str">
        <f>HYPERLINK("https://uva.onlinejudge.org/index.php?option=com_onlinejudge&amp;Itemid=8&amp;page=show_problem&amp;problem=1018","UVA 10077")</f>
        <v>UVA 10077</v>
      </c>
      <c r="C203" s="67"/>
      <c r="D203" s="67"/>
      <c r="E203" s="67"/>
      <c r="F203" s="67"/>
      <c r="G203" s="67"/>
      <c r="H203" s="67"/>
      <c r="I203" s="36">
        <f t="shared" si="0"/>
        <v>0</v>
      </c>
      <c r="J203" s="36"/>
      <c r="K203" s="36"/>
      <c r="L203" s="67"/>
      <c r="M203" s="60"/>
      <c r="N203" s="286" t="s">
        <v>1292</v>
      </c>
      <c r="O203" s="286">
        <v>6</v>
      </c>
      <c r="P203" s="286">
        <v>3.5</v>
      </c>
    </row>
    <row r="204" spans="1:17" ht="12.5">
      <c r="A204" s="60" t="s">
        <v>803</v>
      </c>
      <c r="B204" s="287" t="str">
        <f>HYPERLINK("http://codeforces.com/contest/270/problem/C","CF270-D2-C")</f>
        <v>CF270-D2-C</v>
      </c>
      <c r="C204" s="67"/>
      <c r="D204" s="67"/>
      <c r="E204" s="67"/>
      <c r="F204" s="67"/>
      <c r="G204" s="67"/>
      <c r="H204" s="67"/>
      <c r="I204" s="36">
        <f t="shared" si="0"/>
        <v>0</v>
      </c>
      <c r="J204" s="36"/>
      <c r="K204" s="36"/>
      <c r="L204" s="67"/>
      <c r="M204" s="60"/>
      <c r="N204" s="286" t="s">
        <v>1293</v>
      </c>
      <c r="O204" s="286">
        <v>6</v>
      </c>
      <c r="P204" s="286">
        <v>4</v>
      </c>
      <c r="Q204" s="12" t="s">
        <v>1245</v>
      </c>
    </row>
    <row r="205" spans="1:17" ht="12.5">
      <c r="A205" s="60" t="s">
        <v>1169</v>
      </c>
      <c r="B205" s="287" t="str">
        <f>HYPERLINK("http://codeforces.com/contest/651/problem/D","CF651-D2-D")</f>
        <v>CF651-D2-D</v>
      </c>
      <c r="C205" s="67"/>
      <c r="D205" s="67"/>
      <c r="E205" s="67"/>
      <c r="F205" s="67"/>
      <c r="G205" s="67"/>
      <c r="H205" s="67"/>
      <c r="I205" s="36">
        <f t="shared" si="0"/>
        <v>0</v>
      </c>
      <c r="J205" s="67"/>
      <c r="K205" s="67"/>
      <c r="L205" s="302"/>
      <c r="M205" s="28"/>
      <c r="N205" s="286" t="s">
        <v>1294</v>
      </c>
      <c r="O205" s="286">
        <v>6</v>
      </c>
      <c r="P205" s="286">
        <v>4</v>
      </c>
      <c r="Q205" s="12" t="s">
        <v>1243</v>
      </c>
    </row>
    <row r="206" spans="1:17" ht="12.5">
      <c r="A206" s="60" t="s">
        <v>719</v>
      </c>
      <c r="B206" s="287" t="str">
        <f>HYPERLINK("http://codeforces.com/contest/812/problem/C","CF812-D2-C")</f>
        <v>CF812-D2-C</v>
      </c>
      <c r="C206" s="67"/>
      <c r="D206" s="67"/>
      <c r="E206" s="67"/>
      <c r="F206" s="67"/>
      <c r="G206" s="67"/>
      <c r="H206" s="67"/>
      <c r="I206" s="36">
        <f t="shared" si="0"/>
        <v>0</v>
      </c>
      <c r="J206" s="36"/>
      <c r="K206" s="36"/>
      <c r="L206" s="67"/>
      <c r="M206" s="290" t="str">
        <f>HYPERLINK("https://www.youtube.com/watch?v=SDEpB87Uxpg","Video Solution - Solver to be (Java)")</f>
        <v>Video Solution - Solver to be (Java)</v>
      </c>
      <c r="N206" s="286" t="s">
        <v>1289</v>
      </c>
      <c r="O206" s="286">
        <v>6</v>
      </c>
      <c r="P206" s="286">
        <v>4</v>
      </c>
    </row>
    <row r="207" spans="1:17" ht="12.5">
      <c r="A207" s="60" t="s">
        <v>271</v>
      </c>
      <c r="B207" s="287" t="str">
        <f>HYPERLINK("https://uva.onlinejudge.org/index.php?option=com_onlinejudge&amp;Itemid=8&amp;page=show_problem&amp;problem=1552","UVA 10611")</f>
        <v>UVA 10611</v>
      </c>
      <c r="C207" s="67"/>
      <c r="D207" s="67"/>
      <c r="E207" s="67"/>
      <c r="F207" s="67"/>
      <c r="G207" s="67"/>
      <c r="H207" s="67"/>
      <c r="I207" s="36">
        <f t="shared" si="0"/>
        <v>0</v>
      </c>
      <c r="J207" s="67"/>
      <c r="K207" s="36"/>
      <c r="L207" s="67"/>
      <c r="M207" s="297" t="str">
        <f>HYPERLINK("https://www.youtube.com/watch?v=OsfeunBJFzw","Video Solution - Eng Ayman Salah")</f>
        <v>Video Solution - Eng Ayman Salah</v>
      </c>
      <c r="N207" s="286" t="s">
        <v>1289</v>
      </c>
      <c r="O207" s="286">
        <v>6</v>
      </c>
      <c r="P207" s="286">
        <v>4</v>
      </c>
    </row>
    <row r="208" spans="1:17" ht="12.5">
      <c r="A208" s="60" t="s">
        <v>745</v>
      </c>
      <c r="B208" s="287" t="str">
        <f>HYPERLINK("http://codeforces.com/contest/75/problem/C","CF75-D2-C")</f>
        <v>CF75-D2-C</v>
      </c>
      <c r="C208" s="67"/>
      <c r="D208" s="67"/>
      <c r="E208" s="67"/>
      <c r="F208" s="67"/>
      <c r="G208" s="67"/>
      <c r="H208" s="67"/>
      <c r="I208" s="36">
        <f t="shared" si="0"/>
        <v>0</v>
      </c>
      <c r="J208" s="36"/>
      <c r="K208" s="36"/>
      <c r="L208" s="67"/>
      <c r="M208" s="290" t="str">
        <f>HYPERLINK("https://www.youtube.com/watch?v=EZg71v0Z5iE","Video Solution - Dr Mostafa Saad")</f>
        <v>Video Solution - Dr Mostafa Saad</v>
      </c>
      <c r="N208" s="286" t="s">
        <v>1295</v>
      </c>
      <c r="O208" s="286">
        <v>6</v>
      </c>
      <c r="P208" s="286">
        <v>4</v>
      </c>
      <c r="Q208" s="12" t="s">
        <v>1243</v>
      </c>
    </row>
    <row r="209" spans="1:17" ht="12.5">
      <c r="A209" s="60" t="s">
        <v>1032</v>
      </c>
      <c r="B209" s="287" t="str">
        <f>HYPERLINK("http://www.spoj.com/problems/DICTSUB/","SPOJ DICTSUB")</f>
        <v>SPOJ DICTSUB</v>
      </c>
      <c r="C209" s="67"/>
      <c r="D209" s="67"/>
      <c r="E209" s="67"/>
      <c r="F209" s="67"/>
      <c r="G209" s="67"/>
      <c r="H209" s="67"/>
      <c r="I209" s="36">
        <f t="shared" si="0"/>
        <v>0</v>
      </c>
      <c r="J209" s="36"/>
      <c r="K209" s="36"/>
      <c r="L209" s="67"/>
      <c r="M209" s="301" t="str">
        <f>HYPERLINK("https://github.com/VAMPIER000001/CompetitiveProgramming/blob/master/Spoj/SPOJ%20DICTSUB.Cpp","Sol")</f>
        <v>Sol</v>
      </c>
      <c r="N209" s="286" t="s">
        <v>1296</v>
      </c>
      <c r="O209" s="286">
        <v>6</v>
      </c>
      <c r="P209" s="286">
        <v>4.5</v>
      </c>
      <c r="Q209" s="12" t="s">
        <v>1243</v>
      </c>
    </row>
    <row r="210" spans="1:17" ht="12.5">
      <c r="A210" s="60" t="s">
        <v>1172</v>
      </c>
      <c r="B210" s="287" t="str">
        <f>HYPERLINK("http://codeforces.com/contest/255/problem/D","CF255-D2-D")</f>
        <v>CF255-D2-D</v>
      </c>
      <c r="C210" s="67"/>
      <c r="D210" s="67"/>
      <c r="E210" s="67"/>
      <c r="F210" s="67"/>
      <c r="G210" s="67"/>
      <c r="H210" s="67"/>
      <c r="I210" s="36">
        <f t="shared" si="0"/>
        <v>0</v>
      </c>
      <c r="J210" s="67"/>
      <c r="K210" s="67"/>
      <c r="L210" s="302"/>
      <c r="M210" s="28"/>
      <c r="N210" s="286" t="s">
        <v>1289</v>
      </c>
      <c r="O210" s="286">
        <v>6</v>
      </c>
      <c r="P210" s="286">
        <v>4.5</v>
      </c>
      <c r="Q210" s="12" t="s">
        <v>1239</v>
      </c>
    </row>
    <row r="211" spans="1:17" ht="12.5">
      <c r="A211" s="60"/>
      <c r="B211" s="287" t="str">
        <f>HYPERLINK("https://codeforces.com/contest/1060/problem/C","CF1060-D12-C")</f>
        <v>CF1060-D12-C</v>
      </c>
      <c r="C211" s="67"/>
      <c r="D211" s="67"/>
      <c r="E211" s="67"/>
      <c r="F211" s="67"/>
      <c r="G211" s="67"/>
      <c r="H211" s="67"/>
      <c r="I211" s="36">
        <f t="shared" si="0"/>
        <v>0</v>
      </c>
      <c r="J211" s="36"/>
      <c r="K211" s="36"/>
      <c r="L211" s="67"/>
      <c r="M211" s="60"/>
      <c r="N211" s="286" t="s">
        <v>1297</v>
      </c>
      <c r="O211" s="286">
        <v>6</v>
      </c>
      <c r="P211" s="286">
        <v>5</v>
      </c>
      <c r="Q211" s="12" t="s">
        <v>1245</v>
      </c>
    </row>
    <row r="212" spans="1:17" ht="12.5">
      <c r="A212" s="60" t="s">
        <v>379</v>
      </c>
      <c r="B212" s="287" t="str">
        <f>HYPERLINK("http://codeforces.com/contest/448/problem/D","CF448-D2-D")</f>
        <v>CF448-D2-D</v>
      </c>
      <c r="C212" s="67"/>
      <c r="D212" s="67"/>
      <c r="E212" s="67"/>
      <c r="F212" s="67"/>
      <c r="G212" s="67"/>
      <c r="H212" s="67"/>
      <c r="I212" s="36">
        <f t="shared" si="0"/>
        <v>0</v>
      </c>
      <c r="J212" s="67"/>
      <c r="K212" s="67"/>
      <c r="L212" s="67"/>
      <c r="M212" s="296" t="str">
        <f>HYPERLINK("https://www.youtube.com/watch?v=up_Z5e9ZsCU","Video Solution - Solve to be (Java)")</f>
        <v>Video Solution - Solve to be (Java)</v>
      </c>
      <c r="N212" s="286" t="s">
        <v>1289</v>
      </c>
      <c r="O212" s="286">
        <v>6</v>
      </c>
      <c r="P212" s="286">
        <v>5</v>
      </c>
      <c r="Q212" s="12" t="s">
        <v>1243</v>
      </c>
    </row>
    <row r="213" spans="1:17" ht="12.5">
      <c r="A213" s="60" t="s">
        <v>544</v>
      </c>
      <c r="B213" s="287" t="str">
        <f>HYPERLINK("https://uva.onlinejudge.org/index.php?option=onlinejudge&amp;page=show_problem&amp;problem=4330","UVA 1555")</f>
        <v>UVA 1555</v>
      </c>
      <c r="C213" s="67"/>
      <c r="D213" s="67"/>
      <c r="E213" s="67"/>
      <c r="F213" s="67"/>
      <c r="G213" s="67"/>
      <c r="H213" s="67"/>
      <c r="I213" s="36">
        <f t="shared" si="0"/>
        <v>0</v>
      </c>
      <c r="J213" s="67"/>
      <c r="K213" s="67"/>
      <c r="L213" s="67"/>
      <c r="M213" s="216" t="str">
        <f>HYPERLINK("https://github.com/mostafa-saad/MyCompetitiveProgramming/blob/master/UVA/UVA_1555.txt","Sol")</f>
        <v>Sol</v>
      </c>
      <c r="N213" s="286" t="s">
        <v>1298</v>
      </c>
      <c r="O213" s="286">
        <v>6</v>
      </c>
      <c r="P213" s="286">
        <v>5</v>
      </c>
      <c r="Q213" s="12" t="s">
        <v>1245</v>
      </c>
    </row>
    <row r="214" spans="1:17" ht="12.5">
      <c r="A214" s="60"/>
      <c r="B214" s="60" t="s">
        <v>928</v>
      </c>
      <c r="C214" s="67"/>
      <c r="D214" s="67"/>
      <c r="E214" s="67"/>
      <c r="F214" s="67"/>
      <c r="G214" s="67"/>
      <c r="H214" s="67"/>
      <c r="I214" s="36">
        <f t="shared" si="0"/>
        <v>0</v>
      </c>
      <c r="J214" s="67"/>
      <c r="K214" s="67"/>
      <c r="L214" s="67"/>
      <c r="M214" s="216" t="str">
        <f>HYPERLINK("https://github.com/mostafa-saad/MyCompetitiveProgramming/blob/master/SPOJ/SPOJ_ABA12E.txt","Sol")</f>
        <v>Sol</v>
      </c>
      <c r="N214" s="286" t="s">
        <v>1299</v>
      </c>
      <c r="O214" s="286">
        <v>6</v>
      </c>
      <c r="P214" s="286">
        <v>5.5</v>
      </c>
      <c r="Q214" s="12" t="s">
        <v>1245</v>
      </c>
    </row>
    <row r="215" spans="1:17" ht="25">
      <c r="A215" s="60" t="s">
        <v>1180</v>
      </c>
      <c r="B215" s="287" t="str">
        <f>HYPERLINK("http://www.spoj.com/problems/MSE07E/","SPOJ MSE07E")</f>
        <v>SPOJ MSE07E</v>
      </c>
      <c r="C215" s="67"/>
      <c r="D215" s="67"/>
      <c r="E215" s="67"/>
      <c r="F215" s="67"/>
      <c r="G215" s="67"/>
      <c r="H215" s="67"/>
      <c r="I215" s="36">
        <f t="shared" si="0"/>
        <v>0</v>
      </c>
      <c r="J215" s="67"/>
      <c r="K215" s="67"/>
      <c r="L215" s="302"/>
      <c r="M215" s="216" t="str">
        <f>HYPERLINK("https://github.com/mostafa-saad/MyCompetitiveProgramming/blob/master/SPOJ/SPOJ_MSE07E.txt","Read SPOJ users' comments about IO. See here sol")</f>
        <v>Read SPOJ users' comments about IO. See here sol</v>
      </c>
      <c r="N215" s="286" t="s">
        <v>1300</v>
      </c>
      <c r="O215" s="286">
        <v>6</v>
      </c>
      <c r="P215" s="286">
        <v>6</v>
      </c>
      <c r="Q215" s="12" t="s">
        <v>1245</v>
      </c>
    </row>
    <row r="216" spans="1:17" ht="12.5">
      <c r="A216" s="60"/>
      <c r="B216" s="60" t="s">
        <v>1064</v>
      </c>
      <c r="C216" s="67"/>
      <c r="D216" s="67"/>
      <c r="E216" s="67"/>
      <c r="F216" s="67"/>
      <c r="G216" s="67"/>
      <c r="H216" s="67"/>
      <c r="I216" s="36">
        <f t="shared" si="0"/>
        <v>0</v>
      </c>
      <c r="J216" s="67"/>
      <c r="K216" s="67"/>
      <c r="L216" s="67"/>
      <c r="M216" s="60"/>
      <c r="N216" s="286" t="s">
        <v>1301</v>
      </c>
      <c r="O216" s="286">
        <v>8</v>
      </c>
      <c r="P216" s="286">
        <v>5.5</v>
      </c>
      <c r="Q216" s="12" t="s">
        <v>1243</v>
      </c>
    </row>
    <row r="217" spans="1:17" ht="12.5">
      <c r="A217" s="60"/>
      <c r="B217" s="60" t="s">
        <v>430</v>
      </c>
      <c r="C217" s="67"/>
      <c r="D217" s="67"/>
      <c r="E217" s="67"/>
      <c r="F217" s="67"/>
      <c r="G217" s="67"/>
      <c r="H217" s="67"/>
      <c r="I217" s="36">
        <f t="shared" si="0"/>
        <v>0</v>
      </c>
      <c r="J217" s="67"/>
      <c r="K217" s="67"/>
      <c r="L217" s="67"/>
      <c r="M217" s="70" t="str">
        <f>HYPERLINK("https://github.com/Ownography/CP/blob/master/SPOJ%20POSTERIN", "Sol")</f>
        <v>Sol</v>
      </c>
      <c r="N217" s="56" t="s">
        <v>1302</v>
      </c>
      <c r="O217" s="286">
        <v>9</v>
      </c>
      <c r="P217" s="286">
        <v>3</v>
      </c>
      <c r="Q217" s="12" t="s">
        <v>1270</v>
      </c>
    </row>
    <row r="218" spans="1:17" ht="12.5">
      <c r="A218" s="60" t="s">
        <v>611</v>
      </c>
      <c r="B218" s="287" t="str">
        <f>HYPERLINK("http://codeforces.com/contest/357/problem/C","CF357-D2-C")</f>
        <v>CF357-D2-C</v>
      </c>
      <c r="C218" s="67"/>
      <c r="D218" s="67"/>
      <c r="E218" s="67"/>
      <c r="F218" s="67"/>
      <c r="G218" s="67"/>
      <c r="H218" s="67"/>
      <c r="I218" s="36">
        <f t="shared" si="0"/>
        <v>0</v>
      </c>
      <c r="J218" s="36"/>
      <c r="K218" s="36"/>
      <c r="L218" s="67"/>
      <c r="M218" s="28"/>
      <c r="N218" s="286" t="s">
        <v>1303</v>
      </c>
      <c r="O218" s="286">
        <v>9</v>
      </c>
      <c r="P218" s="286">
        <v>3</v>
      </c>
    </row>
    <row r="219" spans="1:17" ht="12.5">
      <c r="A219" s="60"/>
      <c r="B219" s="287" t="str">
        <f>HYPERLINK("https://icpcarchive.ecs.baylor.edu/index.php?option=com_onlinejudge&amp;Itemid=8&amp;page=show_problem&amp;problem=6100","LiveArchive 8078")</f>
        <v>LiveArchive 8078</v>
      </c>
      <c r="C219" s="67"/>
      <c r="D219" s="67"/>
      <c r="E219" s="67"/>
      <c r="F219" s="67"/>
      <c r="G219" s="67"/>
      <c r="H219" s="67"/>
      <c r="I219" s="36">
        <f t="shared" si="0"/>
        <v>0</v>
      </c>
      <c r="J219" s="67"/>
      <c r="K219" s="67"/>
      <c r="L219" s="67"/>
      <c r="M219" s="70" t="str">
        <f>HYPERLINK("https://github.com/goswami-rahul/competitive-coding/blob/master/CompetitiveProgramming/livearchive/8078.cpp","Sol")</f>
        <v>Sol</v>
      </c>
      <c r="N219" s="56" t="s">
        <v>1304</v>
      </c>
      <c r="O219" s="286">
        <v>9</v>
      </c>
      <c r="P219" s="286">
        <v>4</v>
      </c>
      <c r="Q219" s="12" t="s">
        <v>1270</v>
      </c>
    </row>
    <row r="220" spans="1:17" ht="12.5">
      <c r="A220" s="60" t="s">
        <v>656</v>
      </c>
      <c r="B220" s="287" t="str">
        <f>HYPERLINK("http://codeforces.com/contest/92/problem/D","CF92-D2-D")</f>
        <v>CF92-D2-D</v>
      </c>
      <c r="C220" s="67"/>
      <c r="D220" s="67"/>
      <c r="E220" s="67"/>
      <c r="F220" s="67"/>
      <c r="G220" s="67"/>
      <c r="H220" s="67"/>
      <c r="I220" s="36">
        <f t="shared" si="0"/>
        <v>0</v>
      </c>
      <c r="J220" s="67"/>
      <c r="K220" s="67"/>
      <c r="L220" s="67"/>
      <c r="M220" s="28"/>
      <c r="N220" s="286" t="s">
        <v>1305</v>
      </c>
      <c r="O220" s="286">
        <v>9</v>
      </c>
      <c r="P220" s="286">
        <v>4</v>
      </c>
      <c r="Q220" s="12" t="s">
        <v>1243</v>
      </c>
    </row>
    <row r="221" spans="1:17" ht="12.5">
      <c r="A221" s="60" t="s">
        <v>650</v>
      </c>
      <c r="B221" s="287" t="str">
        <f>HYPERLINK("http://codeforces.com/contest/705/problem/C","CF705-D2-C")</f>
        <v>CF705-D2-C</v>
      </c>
      <c r="C221" s="67"/>
      <c r="D221" s="67"/>
      <c r="E221" s="67"/>
      <c r="F221" s="67"/>
      <c r="G221" s="67"/>
      <c r="H221" s="67"/>
      <c r="I221" s="36">
        <f t="shared" si="0"/>
        <v>0</v>
      </c>
      <c r="J221" s="36"/>
      <c r="K221" s="36"/>
      <c r="L221" s="67"/>
      <c r="M221" s="286"/>
      <c r="N221" s="286" t="s">
        <v>1306</v>
      </c>
      <c r="O221" s="286">
        <v>9</v>
      </c>
      <c r="P221" s="286">
        <v>4</v>
      </c>
      <c r="Q221" s="12" t="s">
        <v>1243</v>
      </c>
    </row>
    <row r="222" spans="1:17" ht="12.5">
      <c r="A222" s="60" t="s">
        <v>925</v>
      </c>
      <c r="B222" s="287" t="str">
        <f>HYPERLINK("https://uva.onlinejudge.org/index.php?option=com_onlinejudge&amp;Itemid=8&amp;page=show_problem&amp;problem=4467","UVA 1592")</f>
        <v>UVA 1592</v>
      </c>
      <c r="C222" s="67"/>
      <c r="D222" s="67"/>
      <c r="E222" s="67"/>
      <c r="F222" s="67"/>
      <c r="G222" s="67"/>
      <c r="H222" s="67"/>
      <c r="I222" s="36">
        <f t="shared" si="0"/>
        <v>0</v>
      </c>
      <c r="J222" s="67"/>
      <c r="K222" s="67"/>
      <c r="L222" s="67"/>
      <c r="M222" s="191"/>
      <c r="N222" s="286" t="s">
        <v>1307</v>
      </c>
      <c r="O222" s="286">
        <v>9</v>
      </c>
      <c r="P222" s="286">
        <v>4</v>
      </c>
      <c r="Q222" s="12" t="s">
        <v>1243</v>
      </c>
    </row>
    <row r="223" spans="1:17" ht="12.5">
      <c r="A223" s="60" t="s">
        <v>731</v>
      </c>
      <c r="B223" s="287" t="str">
        <f>HYPERLINK("http://codeforces.com/contest/276/problem/C","CF276-D2-C")</f>
        <v>CF276-D2-C</v>
      </c>
      <c r="C223" s="67"/>
      <c r="D223" s="67"/>
      <c r="E223" s="67"/>
      <c r="F223" s="67"/>
      <c r="G223" s="67"/>
      <c r="H223" s="67"/>
      <c r="I223" s="36">
        <f t="shared" si="0"/>
        <v>0</v>
      </c>
      <c r="J223" s="36"/>
      <c r="K223" s="36"/>
      <c r="L223" s="67"/>
      <c r="M223" s="286"/>
      <c r="N223" s="286" t="s">
        <v>1308</v>
      </c>
      <c r="O223" s="286">
        <v>9</v>
      </c>
      <c r="P223" s="286">
        <v>4</v>
      </c>
    </row>
    <row r="224" spans="1:17" ht="12.5">
      <c r="A224" s="60" t="s">
        <v>730</v>
      </c>
      <c r="B224" s="287" t="str">
        <f>HYPERLINK("http://codeforces.com/contest/518/problem/C","CF518-D2-C")</f>
        <v>CF518-D2-C</v>
      </c>
      <c r="C224" s="67"/>
      <c r="D224" s="67"/>
      <c r="E224" s="67"/>
      <c r="F224" s="67"/>
      <c r="G224" s="67"/>
      <c r="H224" s="67"/>
      <c r="I224" s="36">
        <f t="shared" si="0"/>
        <v>0</v>
      </c>
      <c r="J224" s="36"/>
      <c r="K224" s="36"/>
      <c r="L224" s="67"/>
      <c r="M224" s="286"/>
      <c r="N224" s="286" t="s">
        <v>1306</v>
      </c>
      <c r="O224" s="286">
        <v>9</v>
      </c>
      <c r="P224" s="286">
        <v>4.5</v>
      </c>
    </row>
    <row r="225" spans="1:17" ht="12.5">
      <c r="A225" s="60" t="s">
        <v>888</v>
      </c>
      <c r="B225" s="287" t="str">
        <f>HYPERLINK("http://codeforces.com/contest/697/problem/C","CF697-D2-C")</f>
        <v>CF697-D2-C</v>
      </c>
      <c r="C225" s="67"/>
      <c r="D225" s="67"/>
      <c r="E225" s="67"/>
      <c r="F225" s="67"/>
      <c r="G225" s="67"/>
      <c r="H225" s="67"/>
      <c r="I225" s="36">
        <f t="shared" si="0"/>
        <v>0</v>
      </c>
      <c r="J225" s="67"/>
      <c r="K225" s="67"/>
      <c r="L225" s="67"/>
      <c r="M225" s="60"/>
      <c r="N225" s="286" t="s">
        <v>1309</v>
      </c>
      <c r="O225" s="286">
        <v>9</v>
      </c>
      <c r="P225" s="286">
        <v>4.5</v>
      </c>
    </row>
    <row r="226" spans="1:17" ht="12.5">
      <c r="A226" s="60" t="s">
        <v>1030</v>
      </c>
      <c r="B226" s="287" t="str">
        <f>HYPERLINK("http://www.spoj.com/problems/WEIRDFN/","SPOJ WEIRDFN")</f>
        <v>SPOJ WEIRDFN</v>
      </c>
      <c r="C226" s="67"/>
      <c r="D226" s="67"/>
      <c r="E226" s="67"/>
      <c r="F226" s="67"/>
      <c r="G226" s="67"/>
      <c r="H226" s="67"/>
      <c r="I226" s="36">
        <f t="shared" si="0"/>
        <v>0</v>
      </c>
      <c r="J226" s="36"/>
      <c r="K226" s="36"/>
      <c r="L226" s="302"/>
      <c r="M226" s="301" t="str">
        <f>HYPERLINK("https://github.com/mostafa-saad/MyCompetitiveProgramming/blob/master/SPOJ/SPOJ_WEIRDFN.txt","Sol")</f>
        <v>Sol</v>
      </c>
      <c r="N226" s="286" t="s">
        <v>1310</v>
      </c>
      <c r="O226" s="286">
        <v>9</v>
      </c>
      <c r="P226" s="286">
        <v>5</v>
      </c>
      <c r="Q226" s="12" t="s">
        <v>1270</v>
      </c>
    </row>
    <row r="227" spans="1:17" ht="12.5">
      <c r="A227" s="60" t="s">
        <v>1178</v>
      </c>
      <c r="B227" s="287" t="str">
        <f>HYPERLINK("https://uva.onlinejudge.org/index.php?option=onlinejudge&amp;page=show_problem&amp;problem=442","UVA 501")</f>
        <v>UVA 501</v>
      </c>
      <c r="C227" s="67"/>
      <c r="D227" s="67"/>
      <c r="E227" s="67"/>
      <c r="F227" s="67"/>
      <c r="G227" s="67"/>
      <c r="H227" s="67"/>
      <c r="I227" s="36">
        <f t="shared" si="0"/>
        <v>0</v>
      </c>
      <c r="J227" s="67"/>
      <c r="K227" s="67"/>
      <c r="L227" s="302"/>
      <c r="M227" s="216" t="str">
        <f>HYPERLINK("https://github.com/mostafa-saad/MyCompetitiveProgramming/blob/master/UVA/UVA_501.txt","Sol - Must Read")</f>
        <v>Sol - Must Read</v>
      </c>
      <c r="N227" s="286" t="s">
        <v>1311</v>
      </c>
      <c r="O227" s="286">
        <v>9</v>
      </c>
      <c r="P227" s="286">
        <v>5</v>
      </c>
      <c r="Q227" s="12" t="s">
        <v>1243</v>
      </c>
    </row>
    <row r="228" spans="1:17" ht="12.5">
      <c r="A228" s="60" t="s">
        <v>924</v>
      </c>
      <c r="B228" s="287" t="str">
        <f>HYPERLINK("https://icpcarchive.ecs.baylor.edu/index.php?option=com_onlinejudge&amp;Itemid=8&amp;category=19&amp;page=show_problem&amp;problem=1635","LiveArchive 3634")</f>
        <v>LiveArchive 3634</v>
      </c>
      <c r="C228" s="67"/>
      <c r="D228" s="67"/>
      <c r="E228" s="67"/>
      <c r="F228" s="67"/>
      <c r="G228" s="67"/>
      <c r="H228" s="67"/>
      <c r="I228" s="36">
        <f t="shared" si="0"/>
        <v>0</v>
      </c>
      <c r="J228" s="67"/>
      <c r="K228" s="67"/>
      <c r="L228" s="67"/>
      <c r="M228" s="216" t="str">
        <f>HYPERLINK("https://github.com/SaraElkadi/competitive-programming-/blob/master/LiveArchive/3634.cpp","Sol")</f>
        <v>Sol</v>
      </c>
      <c r="N228" s="286" t="s">
        <v>1312</v>
      </c>
      <c r="O228" s="286">
        <v>9</v>
      </c>
      <c r="P228" s="286">
        <v>5</v>
      </c>
      <c r="Q228" s="12" t="s">
        <v>1243</v>
      </c>
    </row>
    <row r="229" spans="1:17" ht="12.5">
      <c r="A229" s="60"/>
      <c r="B229" s="287" t="str">
        <f>HYPERLINK("http://codeforces.com/problemset/problem/899/E","CF899-D2-E")</f>
        <v>CF899-D2-E</v>
      </c>
      <c r="C229" s="67"/>
      <c r="D229" s="67"/>
      <c r="E229" s="67"/>
      <c r="F229" s="67"/>
      <c r="G229" s="67"/>
      <c r="H229" s="67"/>
      <c r="I229" s="36">
        <f t="shared" si="0"/>
        <v>0</v>
      </c>
      <c r="J229" s="67"/>
      <c r="K229" s="67"/>
      <c r="L229" s="67"/>
      <c r="M229" s="60"/>
      <c r="N229" s="286" t="s">
        <v>1313</v>
      </c>
      <c r="O229" s="286">
        <v>9</v>
      </c>
      <c r="P229" s="286">
        <v>5.5</v>
      </c>
      <c r="Q229" s="12" t="s">
        <v>1245</v>
      </c>
    </row>
    <row r="230" spans="1:17" ht="12.5">
      <c r="A230" s="60" t="s">
        <v>1116</v>
      </c>
      <c r="B230" s="287" t="str">
        <f>HYPERLINK("http://codeforces.com/contest/548/problem/D","CF548-D2-D")</f>
        <v>CF548-D2-D</v>
      </c>
      <c r="C230" s="67"/>
      <c r="D230" s="67"/>
      <c r="E230" s="67"/>
      <c r="F230" s="67"/>
      <c r="G230" s="67"/>
      <c r="H230" s="67"/>
      <c r="I230" s="36">
        <f t="shared" si="0"/>
        <v>0</v>
      </c>
      <c r="J230" s="36"/>
      <c r="K230" s="36"/>
      <c r="L230" s="302"/>
      <c r="M230" s="191"/>
      <c r="N230" s="286" t="s">
        <v>1314</v>
      </c>
      <c r="O230" s="286">
        <v>9</v>
      </c>
      <c r="P230" s="286">
        <v>5.5</v>
      </c>
      <c r="Q230" s="12" t="s">
        <v>1243</v>
      </c>
    </row>
    <row r="231" spans="1:17" ht="12.5">
      <c r="A231" s="60" t="s">
        <v>1152</v>
      </c>
      <c r="B231" s="287" t="str">
        <f>HYPERLINK("https://uva.onlinejudge.org/index.php?option=com_onlinejudge&amp;Itemid=8&amp;page=show_problem&amp;problem=4395","UVA 12657")</f>
        <v>UVA 12657</v>
      </c>
      <c r="C231" s="67"/>
      <c r="D231" s="67"/>
      <c r="E231" s="67"/>
      <c r="F231" s="67"/>
      <c r="G231" s="67"/>
      <c r="H231" s="67"/>
      <c r="I231" s="36">
        <f t="shared" si="0"/>
        <v>0</v>
      </c>
      <c r="J231" s="67"/>
      <c r="K231" s="67"/>
      <c r="L231" s="302"/>
      <c r="M231" s="216" t="str">
        <f>HYPERLINK("http://qkxue.net/info/113260/UVA-Boxes-Line-12657","Sol")</f>
        <v>Sol</v>
      </c>
      <c r="N231" s="286" t="s">
        <v>1315</v>
      </c>
      <c r="O231" s="286">
        <v>9</v>
      </c>
      <c r="P231" s="286">
        <v>5.5</v>
      </c>
      <c r="Q231" s="12" t="s">
        <v>1239</v>
      </c>
    </row>
    <row r="232" spans="1:17" ht="12.5">
      <c r="A232" s="60" t="s">
        <v>1179</v>
      </c>
      <c r="B232" s="287" t="str">
        <f>HYPERLINK("https://uva.onlinejudge.org/index.php?option=com_onlinejudge&amp;Itemid=8&amp;page=show_problem&amp;problem=2175","UVA 11234")</f>
        <v>UVA 11234</v>
      </c>
      <c r="C232" s="67"/>
      <c r="D232" s="67"/>
      <c r="E232" s="67"/>
      <c r="F232" s="67"/>
      <c r="G232" s="67"/>
      <c r="H232" s="67"/>
      <c r="I232" s="36">
        <f t="shared" si="0"/>
        <v>0</v>
      </c>
      <c r="J232" s="67"/>
      <c r="K232" s="67"/>
      <c r="L232" s="302"/>
      <c r="M232" s="216" t="str">
        <f>HYPERLINK("https://github.com/AbdelrahmanRamadan/competitive-programming/blob/master/UVA/11234%20-%20Expressions.cpp","Sol")</f>
        <v>Sol</v>
      </c>
      <c r="N232" s="286" t="s">
        <v>1316</v>
      </c>
      <c r="O232" s="286">
        <v>9</v>
      </c>
      <c r="P232" s="286">
        <v>6</v>
      </c>
      <c r="Q232" s="12" t="s">
        <v>1243</v>
      </c>
    </row>
    <row r="233" spans="1:17" ht="12.5">
      <c r="A233" s="60"/>
      <c r="B233" s="60" t="s">
        <v>950</v>
      </c>
      <c r="C233" s="67"/>
      <c r="D233" s="67"/>
      <c r="E233" s="67"/>
      <c r="F233" s="67"/>
      <c r="G233" s="67"/>
      <c r="H233" s="67"/>
      <c r="I233" s="36">
        <f t="shared" si="0"/>
        <v>0</v>
      </c>
      <c r="J233" s="36"/>
      <c r="K233" s="36"/>
      <c r="L233" s="67"/>
      <c r="M233" s="216" t="str">
        <f>HYPERLINK("https://github.com/thackerhelik/UVA/blob/master/11997.cpp","Sol")</f>
        <v>Sol</v>
      </c>
      <c r="N233" s="286" t="s">
        <v>1317</v>
      </c>
      <c r="O233" s="286">
        <v>9</v>
      </c>
      <c r="P233" s="286">
        <v>6.25</v>
      </c>
      <c r="Q233" s="12" t="s">
        <v>1270</v>
      </c>
    </row>
    <row r="234" spans="1:17" ht="12.5">
      <c r="A234" s="60" t="s">
        <v>644</v>
      </c>
      <c r="B234" s="287" t="str">
        <f>HYPERLINK("https://uva.onlinejudge.org/index.php?option=com_onlinejudge&amp;Itemid=8&amp;page=show_problem&amp;problem=944","UVA 10003")</f>
        <v>UVA 10003</v>
      </c>
      <c r="C234" s="67"/>
      <c r="D234" s="67"/>
      <c r="E234" s="67"/>
      <c r="F234" s="67"/>
      <c r="G234" s="67"/>
      <c r="H234" s="67"/>
      <c r="I234" s="36">
        <f t="shared" si="0"/>
        <v>0</v>
      </c>
      <c r="J234" s="36"/>
      <c r="K234" s="36"/>
      <c r="L234" s="67"/>
      <c r="M234" s="28"/>
      <c r="N234" s="286" t="s">
        <v>1318</v>
      </c>
      <c r="O234" s="286">
        <v>10</v>
      </c>
      <c r="P234" s="286">
        <v>3</v>
      </c>
      <c r="Q234" s="12" t="s">
        <v>1243</v>
      </c>
    </row>
    <row r="235" spans="1:17" ht="12.5">
      <c r="A235" s="60" t="s">
        <v>628</v>
      </c>
      <c r="B235" s="287" t="str">
        <f>HYPERLINK("https://uva.onlinejudge.org/index.php?option=com_onlinejudge&amp;Itemid=8&amp;page=show_problem&amp;problem=503","UVA 562")</f>
        <v>UVA 562</v>
      </c>
      <c r="C235" s="67"/>
      <c r="D235" s="67"/>
      <c r="E235" s="67"/>
      <c r="F235" s="67"/>
      <c r="G235" s="67"/>
      <c r="H235" s="67"/>
      <c r="I235" s="36">
        <f t="shared" si="0"/>
        <v>0</v>
      </c>
      <c r="J235" s="36"/>
      <c r="K235" s="36"/>
      <c r="L235" s="67"/>
      <c r="M235" s="299" t="str">
        <f>HYPERLINK("https://www.youtube.com/watch?v=HN-oKkysTmc","Video Solution - Eng Ayman Salah")</f>
        <v>Video Solution - Eng Ayman Salah</v>
      </c>
      <c r="N235" s="286" t="s">
        <v>1319</v>
      </c>
      <c r="O235" s="286">
        <v>10</v>
      </c>
      <c r="P235" s="286">
        <v>3</v>
      </c>
    </row>
    <row r="236" spans="1:17" ht="12.5">
      <c r="A236" s="60" t="s">
        <v>626</v>
      </c>
      <c r="B236" s="287" t="str">
        <f>HYPERLINK("https://uva.onlinejudge.org/index.php?option=onlinejudge&amp;page=show_problem&amp;problem=1133","UVA 10192")</f>
        <v>UVA 10192</v>
      </c>
      <c r="C236" s="67"/>
      <c r="D236" s="67"/>
      <c r="E236" s="67"/>
      <c r="F236" s="67"/>
      <c r="G236" s="67"/>
      <c r="H236" s="67"/>
      <c r="I236" s="36">
        <f t="shared" si="0"/>
        <v>0</v>
      </c>
      <c r="J236" s="36"/>
      <c r="K236" s="36"/>
      <c r="L236" s="67"/>
      <c r="M236" s="304" t="s">
        <v>627</v>
      </c>
      <c r="N236" s="286" t="s">
        <v>1320</v>
      </c>
      <c r="O236" s="286">
        <v>10</v>
      </c>
      <c r="P236" s="286">
        <v>3</v>
      </c>
    </row>
    <row r="237" spans="1:17" ht="12.5">
      <c r="A237" s="60" t="s">
        <v>633</v>
      </c>
      <c r="B237" s="287" t="str">
        <f>HYPERLINK("https://uva.onlinejudge.org/index.php?option=com_onlinejudge&amp;Itemid=8&amp;page=show_problem&amp;problem=977","UVA 10036")</f>
        <v>UVA 10036</v>
      </c>
      <c r="C237" s="67"/>
      <c r="D237" s="67"/>
      <c r="E237" s="67"/>
      <c r="F237" s="67"/>
      <c r="G237" s="67"/>
      <c r="H237" s="67"/>
      <c r="I237" s="36">
        <f t="shared" si="0"/>
        <v>0</v>
      </c>
      <c r="J237" s="36"/>
      <c r="K237" s="36"/>
      <c r="L237" s="67"/>
      <c r="M237" s="160" t="s">
        <v>632</v>
      </c>
      <c r="N237" s="286" t="s">
        <v>1321</v>
      </c>
      <c r="O237" s="286">
        <v>10</v>
      </c>
      <c r="P237" s="286">
        <v>3</v>
      </c>
    </row>
    <row r="238" spans="1:17" ht="12.5">
      <c r="A238" s="60" t="s">
        <v>811</v>
      </c>
      <c r="B238" s="287" t="str">
        <f>HYPERLINK("https://uva.onlinejudge.org/index.php?option=onlinejudge&amp;page=show_problem&amp;problem=1041","UVA 10100")</f>
        <v>UVA 10100</v>
      </c>
      <c r="C238" s="67"/>
      <c r="D238" s="67"/>
      <c r="E238" s="67"/>
      <c r="F238" s="67"/>
      <c r="G238" s="67"/>
      <c r="H238" s="67"/>
      <c r="I238" s="36">
        <f t="shared" si="0"/>
        <v>0</v>
      </c>
      <c r="J238" s="36"/>
      <c r="K238" s="36"/>
      <c r="L238" s="67"/>
      <c r="M238" s="160" t="s">
        <v>632</v>
      </c>
      <c r="N238" s="286" t="s">
        <v>1320</v>
      </c>
      <c r="O238" s="286">
        <v>10</v>
      </c>
      <c r="P238" s="286">
        <v>3.5</v>
      </c>
    </row>
    <row r="239" spans="1:17" ht="12.5">
      <c r="A239" s="60"/>
      <c r="B239" s="287" t="str">
        <f>HYPERLINK("https://codeforces.com/contest/1057/problem/C","CF1057-D12-C")</f>
        <v>CF1057-D12-C</v>
      </c>
      <c r="C239" s="67"/>
      <c r="D239" s="67"/>
      <c r="E239" s="67"/>
      <c r="F239" s="67"/>
      <c r="G239" s="67"/>
      <c r="H239" s="67"/>
      <c r="I239" s="36">
        <f t="shared" si="0"/>
        <v>0</v>
      </c>
      <c r="J239" s="36"/>
      <c r="K239" s="36"/>
      <c r="L239" s="67"/>
      <c r="M239" s="191"/>
      <c r="N239" s="286" t="s">
        <v>1322</v>
      </c>
      <c r="O239" s="286">
        <v>10</v>
      </c>
      <c r="P239" s="286">
        <v>4</v>
      </c>
      <c r="Q239" s="12" t="s">
        <v>1243</v>
      </c>
    </row>
    <row r="240" spans="1:17" ht="12.5">
      <c r="A240" s="60" t="s">
        <v>667</v>
      </c>
      <c r="B240" s="287" t="str">
        <f>HYPERLINK("http://codeforces.com/contest/604/problem/C","CF604-D2-C")</f>
        <v>CF604-D2-C</v>
      </c>
      <c r="C240" s="67"/>
      <c r="D240" s="67"/>
      <c r="E240" s="67"/>
      <c r="F240" s="67"/>
      <c r="G240" s="67"/>
      <c r="H240" s="67"/>
      <c r="I240" s="36">
        <f t="shared" si="0"/>
        <v>0</v>
      </c>
      <c r="J240" s="36"/>
      <c r="K240" s="36"/>
      <c r="L240" s="67"/>
      <c r="M240" s="60"/>
      <c r="N240" s="286" t="s">
        <v>1323</v>
      </c>
      <c r="O240" s="286">
        <v>10</v>
      </c>
      <c r="P240" s="286">
        <v>4</v>
      </c>
      <c r="Q240" s="12" t="s">
        <v>1243</v>
      </c>
    </row>
    <row r="241" spans="1:17" ht="12.5">
      <c r="A241" s="60" t="s">
        <v>717</v>
      </c>
      <c r="B241" s="287" t="str">
        <f>HYPERLINK("https://uva.onlinejudge.org/index.php?option=com_onlinejudge&amp;Itemid=8&amp;page=show_problem&amp;problem=1680","UVA 10739")</f>
        <v>UVA 10739</v>
      </c>
      <c r="C241" s="67"/>
      <c r="D241" s="67"/>
      <c r="E241" s="67"/>
      <c r="F241" s="67"/>
      <c r="G241" s="67"/>
      <c r="H241" s="67"/>
      <c r="I241" s="36">
        <f t="shared" si="0"/>
        <v>0</v>
      </c>
      <c r="J241" s="36"/>
      <c r="K241" s="36"/>
      <c r="L241" s="67"/>
      <c r="M241" s="60" t="s">
        <v>627</v>
      </c>
      <c r="N241" s="286" t="s">
        <v>1319</v>
      </c>
      <c r="O241" s="286">
        <v>10</v>
      </c>
      <c r="P241" s="286">
        <v>4</v>
      </c>
    </row>
    <row r="242" spans="1:17" ht="12.5">
      <c r="A242" s="60" t="s">
        <v>718</v>
      </c>
      <c r="B242" s="287" t="str">
        <f>HYPERLINK("https://uva.onlinejudge.org/index.php?option=onlinejudge&amp;page=show_problem&amp;problem=1760","UVA 10819")</f>
        <v>UVA 10819</v>
      </c>
      <c r="C242" s="67"/>
      <c r="D242" s="67"/>
      <c r="E242" s="67"/>
      <c r="F242" s="67"/>
      <c r="G242" s="67"/>
      <c r="H242" s="67"/>
      <c r="I242" s="36">
        <f t="shared" si="0"/>
        <v>0</v>
      </c>
      <c r="J242" s="36"/>
      <c r="K242" s="36"/>
      <c r="L242" s="67"/>
      <c r="M242" s="60"/>
      <c r="N242" s="286" t="s">
        <v>1324</v>
      </c>
      <c r="O242" s="286">
        <v>10</v>
      </c>
      <c r="P242" s="286">
        <v>4</v>
      </c>
    </row>
    <row r="243" spans="1:17" ht="12.5">
      <c r="A243" s="60" t="s">
        <v>443</v>
      </c>
      <c r="B243" s="287" t="str">
        <f>HYPERLINK("http://codeforces.com/contest/545/problem/C","CF545-D2-C")</f>
        <v>CF545-D2-C</v>
      </c>
      <c r="C243" s="67"/>
      <c r="D243" s="67"/>
      <c r="E243" s="67"/>
      <c r="F243" s="67"/>
      <c r="G243" s="67"/>
      <c r="H243" s="67"/>
      <c r="I243" s="36">
        <f t="shared" si="0"/>
        <v>0</v>
      </c>
      <c r="J243" s="36"/>
      <c r="K243" s="36"/>
      <c r="L243" s="67"/>
      <c r="M243" s="28"/>
      <c r="N243" s="286" t="s">
        <v>1325</v>
      </c>
      <c r="O243" s="286">
        <v>10</v>
      </c>
      <c r="P243" s="286">
        <v>4</v>
      </c>
    </row>
    <row r="244" spans="1:17" ht="12.5">
      <c r="A244" s="60" t="s">
        <v>813</v>
      </c>
      <c r="B244" s="287" t="str">
        <f>HYPERLINK("https://uva.onlinejudge.org/index.php?option=com_onlinejudge&amp;Itemid=8&amp;page=show_problem&amp;problem=1139","UVA 10198")</f>
        <v>UVA 10198</v>
      </c>
      <c r="C244" s="67"/>
      <c r="D244" s="67"/>
      <c r="E244" s="67"/>
      <c r="F244" s="67"/>
      <c r="G244" s="67"/>
      <c r="H244" s="67"/>
      <c r="I244" s="36">
        <f t="shared" si="0"/>
        <v>0</v>
      </c>
      <c r="J244" s="36"/>
      <c r="K244" s="36"/>
      <c r="L244" s="67"/>
      <c r="M244" s="305" t="str">
        <f>HYPERLINK("https://github.com/lamphanviet/competitive-programming/blob/master/uva-online-judge/accepted-solutions/10198%20-%20Counting.cpp","Needs Big Integer: Have it in your cpp library or learn Java for these (rare) cases")</f>
        <v>Needs Big Integer: Have it in your cpp library or learn Java for these (rare) cases</v>
      </c>
      <c r="N244" s="286" t="s">
        <v>1326</v>
      </c>
      <c r="O244" s="286">
        <v>10</v>
      </c>
      <c r="P244" s="286">
        <v>4</v>
      </c>
    </row>
    <row r="245" spans="1:17" ht="12.5">
      <c r="A245" s="60" t="s">
        <v>1027</v>
      </c>
      <c r="B245" s="287" t="str">
        <f>HYPERLINK("http://codeforces.com/contest/489/problem/C","CF489-D2-C")</f>
        <v>CF489-D2-C</v>
      </c>
      <c r="C245" s="67"/>
      <c r="D245" s="67"/>
      <c r="E245" s="67"/>
      <c r="F245" s="67"/>
      <c r="G245" s="67"/>
      <c r="H245" s="67"/>
      <c r="I245" s="36">
        <f t="shared" si="0"/>
        <v>0</v>
      </c>
      <c r="J245" s="36"/>
      <c r="K245" s="36"/>
      <c r="L245" s="67"/>
      <c r="M245" s="60"/>
      <c r="N245" s="286" t="s">
        <v>1327</v>
      </c>
      <c r="O245" s="286">
        <v>10</v>
      </c>
      <c r="P245" s="286">
        <v>4</v>
      </c>
    </row>
    <row r="246" spans="1:17" ht="12.5">
      <c r="A246" s="60" t="s">
        <v>716</v>
      </c>
      <c r="B246" s="287" t="str">
        <f>HYPERLINK("https://uva.onlinejudge.org/index.php?option=com_onlinejudge&amp;Itemid=8&amp;page=show_problem&amp;problem=438","UVA 497")</f>
        <v>UVA 497</v>
      </c>
      <c r="C246" s="67"/>
      <c r="D246" s="67"/>
      <c r="E246" s="67"/>
      <c r="F246" s="67"/>
      <c r="G246" s="67"/>
      <c r="H246" s="67"/>
      <c r="I246" s="36">
        <f t="shared" si="0"/>
        <v>0</v>
      </c>
      <c r="J246" s="36"/>
      <c r="K246" s="36"/>
      <c r="L246" s="67"/>
      <c r="M246" s="304" t="s">
        <v>627</v>
      </c>
      <c r="N246" s="286" t="s">
        <v>1328</v>
      </c>
      <c r="O246" s="286">
        <v>10</v>
      </c>
      <c r="P246" s="286">
        <v>4</v>
      </c>
    </row>
    <row r="247" spans="1:17" ht="12.5">
      <c r="A247" s="60" t="s">
        <v>651</v>
      </c>
      <c r="B247" s="287" t="str">
        <f>HYPERLINK("http://codeforces.com/contest/706/problem/C","CF706-D2-C")</f>
        <v>CF706-D2-C</v>
      </c>
      <c r="C247" s="67"/>
      <c r="D247" s="67"/>
      <c r="E247" s="67"/>
      <c r="F247" s="67"/>
      <c r="G247" s="67"/>
      <c r="H247" s="67"/>
      <c r="I247" s="36">
        <f t="shared" si="0"/>
        <v>0</v>
      </c>
      <c r="J247" s="36"/>
      <c r="K247" s="36"/>
      <c r="L247" s="67"/>
      <c r="M247" s="286"/>
      <c r="N247" s="286" t="s">
        <v>1319</v>
      </c>
      <c r="O247" s="286">
        <v>10</v>
      </c>
      <c r="P247" s="286">
        <v>4.5</v>
      </c>
      <c r="Q247" s="12" t="s">
        <v>1239</v>
      </c>
    </row>
    <row r="248" spans="1:17" ht="12.5">
      <c r="A248" s="60" t="s">
        <v>713</v>
      </c>
      <c r="B248" s="287" t="str">
        <f>HYPERLINK("http://codeforces.com/contest/456/problem/C","CF456-D2-C")</f>
        <v>CF456-D2-C</v>
      </c>
      <c r="C248" s="67"/>
      <c r="D248" s="67"/>
      <c r="E248" s="67"/>
      <c r="F248" s="67"/>
      <c r="G248" s="67"/>
      <c r="H248" s="67"/>
      <c r="I248" s="36">
        <f t="shared" si="0"/>
        <v>0</v>
      </c>
      <c r="J248" s="36"/>
      <c r="K248" s="36"/>
      <c r="L248" s="67"/>
      <c r="M248" s="154"/>
      <c r="N248" s="286" t="s">
        <v>1319</v>
      </c>
      <c r="O248" s="286">
        <v>10</v>
      </c>
      <c r="P248" s="286">
        <v>4.5</v>
      </c>
    </row>
    <row r="249" spans="1:17" ht="12.5">
      <c r="A249" s="60" t="s">
        <v>764</v>
      </c>
      <c r="B249" s="287" t="str">
        <f>HYPERLINK("http://codeforces.com/contest/711/problem/C","CF711-D2-C")</f>
        <v>CF711-D2-C</v>
      </c>
      <c r="C249" s="67"/>
      <c r="D249" s="67"/>
      <c r="E249" s="67"/>
      <c r="F249" s="67"/>
      <c r="G249" s="67"/>
      <c r="H249" s="67"/>
      <c r="I249" s="36">
        <f t="shared" si="0"/>
        <v>0</v>
      </c>
      <c r="J249" s="36"/>
      <c r="K249" s="36"/>
      <c r="L249" s="67"/>
      <c r="M249" s="290" t="str">
        <f>HYPERLINK("https://www.youtube.com/watch?v=aYERNlE7KLU","Video Solution - Solver to be")</f>
        <v>Video Solution - Solver to be</v>
      </c>
      <c r="N249" s="286" t="s">
        <v>1319</v>
      </c>
      <c r="O249" s="286">
        <v>10</v>
      </c>
      <c r="P249" s="286">
        <v>4.5</v>
      </c>
    </row>
    <row r="250" spans="1:17" ht="12.5">
      <c r="A250" s="60" t="s">
        <v>642</v>
      </c>
      <c r="B250" s="287" t="str">
        <f>HYPERLINK("https://uva.onlinejudge.org/index.php?option=com_onlinejudge&amp;Itemid=8&amp;page=show_problem&amp;problem=1558","UVA 10617")</f>
        <v>UVA 10617</v>
      </c>
      <c r="C250" s="67"/>
      <c r="D250" s="67"/>
      <c r="E250" s="67"/>
      <c r="F250" s="67"/>
      <c r="G250" s="67"/>
      <c r="H250" s="67"/>
      <c r="I250" s="36">
        <f t="shared" si="0"/>
        <v>0</v>
      </c>
      <c r="J250" s="36"/>
      <c r="K250" s="36"/>
      <c r="L250" s="67"/>
      <c r="M250" s="137" t="str">
        <f>HYPERLINK("https://github.com/magdy-hasan/competitive-programming/blob/master/uva-/uva%2010617%20-%20Again%20Palindrome.cpp","Sol to read")</f>
        <v>Sol to read</v>
      </c>
      <c r="N250" s="286" t="s">
        <v>1319</v>
      </c>
      <c r="O250" s="286">
        <v>10</v>
      </c>
      <c r="P250" s="286">
        <v>4.5</v>
      </c>
    </row>
    <row r="251" spans="1:17" ht="12.5">
      <c r="A251" s="60" t="s">
        <v>1029</v>
      </c>
      <c r="B251" s="287" t="str">
        <f>HYPERLINK("https://uva.onlinejudge.org/index.php?option=onlinejudge&amp;page=show_problem&amp;problem=548","UVA 607")</f>
        <v>UVA 607</v>
      </c>
      <c r="C251" s="67"/>
      <c r="D251" s="67"/>
      <c r="E251" s="67"/>
      <c r="F251" s="67"/>
      <c r="G251" s="67"/>
      <c r="H251" s="67"/>
      <c r="I251" s="36">
        <f t="shared" si="0"/>
        <v>0</v>
      </c>
      <c r="J251" s="36"/>
      <c r="K251" s="36"/>
      <c r="L251" s="302"/>
      <c r="M251" s="301" t="str">
        <f>HYPERLINK("https://github.com/MichaelMounir12/CompetitiveProgramming/blob/69c0dba2b0b29083ebad94dfd18be25dcf903235/UVA/UVA_607.cpp","Sol")</f>
        <v>Sol</v>
      </c>
      <c r="N251" s="286" t="s">
        <v>1319</v>
      </c>
      <c r="O251" s="286">
        <v>10</v>
      </c>
      <c r="P251" s="286">
        <v>4.5</v>
      </c>
    </row>
    <row r="252" spans="1:17" ht="12.5">
      <c r="A252" s="60" t="s">
        <v>672</v>
      </c>
      <c r="B252" s="287" t="str">
        <f>HYPERLINK("http://codeforces.com/contest/792/problem/C","CF792-D2-C")</f>
        <v>CF792-D2-C</v>
      </c>
      <c r="C252" s="67"/>
      <c r="D252" s="67"/>
      <c r="E252" s="67"/>
      <c r="F252" s="67"/>
      <c r="G252" s="67"/>
      <c r="H252" s="67"/>
      <c r="I252" s="36">
        <f t="shared" si="0"/>
        <v>0</v>
      </c>
      <c r="J252" s="36"/>
      <c r="K252" s="36"/>
      <c r="L252" s="67"/>
      <c r="M252" s="290" t="str">
        <f>HYPERLINK("https://www.youtube.com/watch?v=BgG5sjJslYk","Video Solution - Solver to be (Java)")</f>
        <v>Video Solution - Solver to be (Java)</v>
      </c>
      <c r="N252" s="286" t="s">
        <v>1329</v>
      </c>
      <c r="O252" s="286">
        <v>10</v>
      </c>
      <c r="P252" s="286">
        <v>4.5</v>
      </c>
    </row>
    <row r="253" spans="1:17" ht="12.5">
      <c r="A253" s="60" t="s">
        <v>964</v>
      </c>
      <c r="B253" s="287" t="str">
        <f>HYPERLINK("https://uva.onlinejudge.org/index.php?option=com_onlinejudge&amp;Itemid=8&amp;page=show_problem&amp;problem=1475","UVA 10534")</f>
        <v>UVA 10534</v>
      </c>
      <c r="C253" s="67"/>
      <c r="D253" s="67"/>
      <c r="E253" s="67"/>
      <c r="F253" s="67"/>
      <c r="G253" s="67"/>
      <c r="H253" s="67"/>
      <c r="I253" s="36">
        <f t="shared" si="0"/>
        <v>0</v>
      </c>
      <c r="J253" s="67"/>
      <c r="K253" s="67"/>
      <c r="L253" s="67"/>
      <c r="M253" s="120" t="str">
        <f>HYPERLINK("https://github.com/AliOsm/CompetitiveProgramming/blob/master/UVA/10534%20-%20Wavio%20Sequence.cpp","Sol")</f>
        <v>Sol</v>
      </c>
      <c r="N253" s="286" t="s">
        <v>1330</v>
      </c>
      <c r="O253" s="286">
        <v>10</v>
      </c>
      <c r="P253" s="286">
        <v>5</v>
      </c>
      <c r="Q253" s="12" t="s">
        <v>1245</v>
      </c>
    </row>
    <row r="254" spans="1:17" ht="12.5">
      <c r="A254" s="60" t="s">
        <v>954</v>
      </c>
      <c r="B254" s="287" t="str">
        <f>HYPERLINK("http://codeforces.com/contest/265/problem/D","CF265-D2-D")</f>
        <v>CF265-D2-D</v>
      </c>
      <c r="C254" s="67"/>
      <c r="D254" s="67"/>
      <c r="E254" s="67"/>
      <c r="F254" s="67"/>
      <c r="G254" s="67"/>
      <c r="H254" s="67"/>
      <c r="I254" s="36">
        <f t="shared" si="0"/>
        <v>0</v>
      </c>
      <c r="J254" s="67"/>
      <c r="K254" s="67"/>
      <c r="L254" s="67"/>
      <c r="M254" s="28"/>
      <c r="N254" s="286" t="s">
        <v>1331</v>
      </c>
      <c r="O254" s="286">
        <v>10</v>
      </c>
      <c r="P254" s="286">
        <v>5</v>
      </c>
      <c r="Q254" s="12" t="s">
        <v>1245</v>
      </c>
    </row>
    <row r="255" spans="1:17" ht="12.5">
      <c r="A255" s="60" t="s">
        <v>1176</v>
      </c>
      <c r="B255" s="287" t="str">
        <f>HYPERLINK("http://codeforces.com/contest/366/problem/C","CF366-D2-C")</f>
        <v>CF366-D2-C</v>
      </c>
      <c r="C255" s="67"/>
      <c r="D255" s="67"/>
      <c r="E255" s="67"/>
      <c r="F255" s="67"/>
      <c r="G255" s="67"/>
      <c r="H255" s="67"/>
      <c r="I255" s="36">
        <f t="shared" si="0"/>
        <v>0</v>
      </c>
      <c r="J255" s="36"/>
      <c r="K255" s="36"/>
      <c r="L255" s="302"/>
      <c r="M255" s="28"/>
      <c r="N255" s="286" t="s">
        <v>1332</v>
      </c>
      <c r="O255" s="286">
        <v>10</v>
      </c>
      <c r="P255" s="286">
        <v>5</v>
      </c>
      <c r="Q255" s="12" t="s">
        <v>1243</v>
      </c>
    </row>
    <row r="256" spans="1:17" ht="12.5">
      <c r="A256" s="60"/>
      <c r="B256" s="287" t="str">
        <f>HYPERLINK("http://codeforces.com/contest/101/problem/B","CF101-D1-B")</f>
        <v>CF101-D1-B</v>
      </c>
      <c r="C256" s="67"/>
      <c r="D256" s="67"/>
      <c r="E256" s="67"/>
      <c r="F256" s="67"/>
      <c r="G256" s="67"/>
      <c r="H256" s="67"/>
      <c r="I256" s="36">
        <f t="shared" si="0"/>
        <v>0</v>
      </c>
      <c r="J256" s="36"/>
      <c r="K256" s="36"/>
      <c r="L256" s="67"/>
      <c r="M256" s="301" t="str">
        <f>HYPERLINK("https://github.com/Huvok/CompetitiveProgramming/blob/master/Codeforces/CF101-D1-B.cpp","Sol")</f>
        <v>Sol</v>
      </c>
      <c r="N256" s="286" t="s">
        <v>1333</v>
      </c>
      <c r="O256" s="286">
        <v>10</v>
      </c>
      <c r="P256" s="286">
        <v>5</v>
      </c>
      <c r="Q256" s="12" t="s">
        <v>1243</v>
      </c>
    </row>
    <row r="257" spans="1:17" ht="12.5">
      <c r="A257" s="60" t="s">
        <v>1146</v>
      </c>
      <c r="B257" s="287" t="str">
        <f>HYPERLINK("http://codeforces.com/contest/340/problem/D","CF340-D2-D")</f>
        <v>CF340-D2-D</v>
      </c>
      <c r="C257" s="67"/>
      <c r="D257" s="67"/>
      <c r="E257" s="67"/>
      <c r="F257" s="67"/>
      <c r="G257" s="67"/>
      <c r="H257" s="67"/>
      <c r="I257" s="36">
        <f t="shared" si="0"/>
        <v>0</v>
      </c>
      <c r="J257" s="67"/>
      <c r="K257" s="67"/>
      <c r="L257" s="302"/>
      <c r="M257" s="28"/>
      <c r="N257" s="286" t="s">
        <v>1334</v>
      </c>
      <c r="O257" s="286">
        <v>10</v>
      </c>
      <c r="P257" s="286">
        <v>5</v>
      </c>
      <c r="Q257" s="12" t="s">
        <v>1243</v>
      </c>
    </row>
    <row r="258" spans="1:17" ht="12.5">
      <c r="A258" s="60"/>
      <c r="B258" s="287" t="str">
        <f>HYPERLINK("http://codeforces.com/contest/506/problem/A", "CF506-D1-A")</f>
        <v>CF506-D1-A</v>
      </c>
      <c r="C258" s="67"/>
      <c r="D258" s="67"/>
      <c r="E258" s="67"/>
      <c r="F258" s="67"/>
      <c r="G258" s="67"/>
      <c r="H258" s="67"/>
      <c r="I258" s="36">
        <f t="shared" si="0"/>
        <v>0</v>
      </c>
      <c r="J258" s="67"/>
      <c r="K258" s="67"/>
      <c r="L258" s="67"/>
      <c r="M258" s="296"/>
      <c r="N258" s="286" t="s">
        <v>1335</v>
      </c>
      <c r="O258" s="286">
        <v>10</v>
      </c>
      <c r="P258" s="286">
        <v>5</v>
      </c>
      <c r="Q258" s="12" t="s">
        <v>1243</v>
      </c>
    </row>
    <row r="259" spans="1:17" ht="12.5">
      <c r="A259" s="60" t="s">
        <v>444</v>
      </c>
      <c r="B259" s="287" t="str">
        <f>HYPERLINK("http://codeforces.com/contest/225/problem/C","CF225-D2-C")</f>
        <v>CF225-D2-C</v>
      </c>
      <c r="C259" s="67"/>
      <c r="D259" s="67"/>
      <c r="E259" s="67"/>
      <c r="F259" s="67"/>
      <c r="G259" s="67"/>
      <c r="H259" s="67"/>
      <c r="I259" s="36">
        <f t="shared" si="0"/>
        <v>0</v>
      </c>
      <c r="J259" s="36"/>
      <c r="K259" s="36"/>
      <c r="L259" s="67"/>
      <c r="M259" s="290" t="str">
        <f>HYPERLINK("https://www.youtube.com/watch?v=O7Tja1S5IYQ","Video Solution - Dr Mostafa Saad")</f>
        <v>Video Solution - Dr Mostafa Saad</v>
      </c>
      <c r="N259" s="286" t="s">
        <v>1319</v>
      </c>
      <c r="O259" s="286">
        <v>10</v>
      </c>
      <c r="P259" s="286">
        <v>5</v>
      </c>
    </row>
    <row r="260" spans="1:17" ht="12.5">
      <c r="A260" s="60" t="s">
        <v>442</v>
      </c>
      <c r="B260" s="287" t="str">
        <f>HYPERLINK("http://codeforces.com/contest/699/problem/C","CF699-D2-C")</f>
        <v>CF699-D2-C</v>
      </c>
      <c r="C260" s="67"/>
      <c r="D260" s="67"/>
      <c r="E260" s="67"/>
      <c r="F260" s="67"/>
      <c r="G260" s="67"/>
      <c r="H260" s="67"/>
      <c r="I260" s="36">
        <f t="shared" si="0"/>
        <v>0</v>
      </c>
      <c r="J260" s="36"/>
      <c r="K260" s="36"/>
      <c r="L260" s="67"/>
      <c r="M260" s="28"/>
      <c r="N260" s="286" t="s">
        <v>1319</v>
      </c>
      <c r="O260" s="286">
        <v>10</v>
      </c>
      <c r="P260" s="286">
        <v>5</v>
      </c>
    </row>
    <row r="261" spans="1:17" ht="12.5">
      <c r="A261" s="60" t="s">
        <v>1047</v>
      </c>
      <c r="B261" s="287" t="str">
        <f>HYPERLINK("http://codeforces.com/contest/270/problem/D","CF270-D2-D")</f>
        <v>CF270-D2-D</v>
      </c>
      <c r="C261" s="67"/>
      <c r="D261" s="67"/>
      <c r="E261" s="67"/>
      <c r="F261" s="67"/>
      <c r="G261" s="67"/>
      <c r="H261" s="67"/>
      <c r="I261" s="36">
        <f t="shared" si="0"/>
        <v>0</v>
      </c>
      <c r="J261" s="67"/>
      <c r="K261" s="67"/>
      <c r="L261" s="67"/>
      <c r="M261" s="28"/>
      <c r="N261" s="286" t="s">
        <v>1336</v>
      </c>
      <c r="O261" s="286">
        <v>10</v>
      </c>
      <c r="P261" s="286">
        <v>5</v>
      </c>
    </row>
    <row r="262" spans="1:17" ht="12.5">
      <c r="A262" s="60" t="s">
        <v>828</v>
      </c>
      <c r="B262" s="287" t="str">
        <f>HYPERLINK("http://codeforces.com/contest/721/problem/C","CF721-D2-C")</f>
        <v>CF721-D2-C</v>
      </c>
      <c r="C262" s="67"/>
      <c r="D262" s="67"/>
      <c r="E262" s="67"/>
      <c r="F262" s="67"/>
      <c r="G262" s="67"/>
      <c r="H262" s="67"/>
      <c r="I262" s="36">
        <f t="shared" ref="I262:I516" si="1">SUM(E262:H262)</f>
        <v>0</v>
      </c>
      <c r="J262" s="36"/>
      <c r="K262" s="36"/>
      <c r="L262" s="67"/>
      <c r="M262" s="60"/>
      <c r="N262" s="286" t="s">
        <v>1337</v>
      </c>
      <c r="O262" s="286">
        <v>10</v>
      </c>
      <c r="P262" s="286">
        <v>5</v>
      </c>
      <c r="Q262" s="12" t="s">
        <v>1243</v>
      </c>
    </row>
    <row r="263" spans="1:17" ht="12.5">
      <c r="A263" s="60"/>
      <c r="B263" s="287" t="str">
        <f>HYPERLINK("http://codeforces.com/contest/264/problem/C","CF264-D1-C")</f>
        <v>CF264-D1-C</v>
      </c>
      <c r="C263" s="67"/>
      <c r="D263" s="67"/>
      <c r="E263" s="67"/>
      <c r="F263" s="67"/>
      <c r="G263" s="67"/>
      <c r="H263" s="67"/>
      <c r="I263" s="36">
        <f t="shared" si="1"/>
        <v>0</v>
      </c>
      <c r="J263" s="67"/>
      <c r="K263" s="67"/>
      <c r="L263" s="67"/>
      <c r="M263" s="296"/>
      <c r="N263" s="286" t="s">
        <v>1338</v>
      </c>
      <c r="O263" s="286">
        <v>10</v>
      </c>
      <c r="P263" s="286">
        <v>5.5</v>
      </c>
      <c r="Q263" s="12" t="s">
        <v>1270</v>
      </c>
    </row>
    <row r="264" spans="1:17" ht="12.5">
      <c r="A264" s="60" t="s">
        <v>1042</v>
      </c>
      <c r="B264" s="287" t="str">
        <f>HYPERLINK("http://codeforces.com/contest/284/problem/D","CF284-D2-D")</f>
        <v>CF284-D2-D</v>
      </c>
      <c r="C264" s="67"/>
      <c r="D264" s="67"/>
      <c r="E264" s="67"/>
      <c r="F264" s="67"/>
      <c r="G264" s="67"/>
      <c r="H264" s="67"/>
      <c r="I264" s="36">
        <f t="shared" si="1"/>
        <v>0</v>
      </c>
      <c r="J264" s="67"/>
      <c r="K264" s="67"/>
      <c r="L264" s="67"/>
      <c r="M264" s="28"/>
      <c r="N264" s="286" t="s">
        <v>1339</v>
      </c>
      <c r="O264" s="286">
        <v>10</v>
      </c>
      <c r="P264" s="286">
        <v>5.5</v>
      </c>
      <c r="Q264" s="12" t="s">
        <v>1245</v>
      </c>
    </row>
    <row r="265" spans="1:17" ht="12.5">
      <c r="A265" s="60"/>
      <c r="B265" s="287" t="str">
        <f>HYPERLINK("https://codeforces.com/contest/1066/problem/F","CF1066-D3-F")</f>
        <v>CF1066-D3-F</v>
      </c>
      <c r="C265" s="67"/>
      <c r="D265" s="67"/>
      <c r="E265" s="67"/>
      <c r="F265" s="67"/>
      <c r="G265" s="67"/>
      <c r="H265" s="67"/>
      <c r="I265" s="36">
        <f t="shared" si="1"/>
        <v>0</v>
      </c>
      <c r="J265" s="36"/>
      <c r="K265" s="36"/>
      <c r="L265" s="67"/>
      <c r="M265" s="191"/>
      <c r="N265" s="286" t="s">
        <v>1340</v>
      </c>
      <c r="O265" s="286">
        <v>10</v>
      </c>
      <c r="P265" s="286">
        <v>5.5</v>
      </c>
      <c r="Q265" s="12" t="s">
        <v>1245</v>
      </c>
    </row>
    <row r="266" spans="1:17" ht="12.5">
      <c r="A266" s="60" t="s">
        <v>645</v>
      </c>
      <c r="B266" s="287" t="str">
        <f>HYPERLINK("https://uva.onlinejudge.org/index.php?option=com_onlinejudge&amp;Itemid=8&amp;page=show_problem&amp;problem=284","UVA 348")</f>
        <v>UVA 348</v>
      </c>
      <c r="C266" s="67"/>
      <c r="D266" s="67"/>
      <c r="E266" s="67"/>
      <c r="F266" s="67"/>
      <c r="G266" s="67"/>
      <c r="H266" s="67"/>
      <c r="I266" s="36">
        <f t="shared" si="1"/>
        <v>0</v>
      </c>
      <c r="J266" s="36"/>
      <c r="K266" s="36"/>
      <c r="L266" s="67"/>
      <c r="M266" s="301" t="str">
        <f>HYPERLINK("https://github.com/mostafa-saad/MyCompetitiveProgramming/blob/master/UVA/UVA_348.txt","Sol")</f>
        <v>Sol</v>
      </c>
      <c r="N266" s="286" t="s">
        <v>1341</v>
      </c>
      <c r="O266" s="286">
        <v>10</v>
      </c>
      <c r="P266" s="286">
        <v>5.5</v>
      </c>
      <c r="Q266" s="12" t="s">
        <v>1245</v>
      </c>
    </row>
    <row r="267" spans="1:17" ht="12.5">
      <c r="A267" s="60"/>
      <c r="B267" s="60" t="s">
        <v>890</v>
      </c>
      <c r="C267" s="67"/>
      <c r="D267" s="67"/>
      <c r="E267" s="67"/>
      <c r="F267" s="67"/>
      <c r="G267" s="67"/>
      <c r="H267" s="67"/>
      <c r="I267" s="36">
        <f t="shared" si="1"/>
        <v>0</v>
      </c>
      <c r="J267" s="36"/>
      <c r="K267" s="36"/>
      <c r="L267" s="67"/>
      <c r="M267" s="286"/>
      <c r="N267" s="286" t="s">
        <v>1342</v>
      </c>
      <c r="O267" s="286">
        <v>10</v>
      </c>
      <c r="P267" s="286">
        <v>5.5</v>
      </c>
      <c r="Q267" s="12" t="s">
        <v>1245</v>
      </c>
    </row>
    <row r="268" spans="1:17" ht="12.5">
      <c r="A268" s="60" t="s">
        <v>1171</v>
      </c>
      <c r="B268" s="287" t="str">
        <f>HYPERLINK("http://codeforces.com/contest/313/problem/D","CF313-D2-D")</f>
        <v>CF313-D2-D</v>
      </c>
      <c r="C268" s="67"/>
      <c r="D268" s="67"/>
      <c r="E268" s="67"/>
      <c r="F268" s="67"/>
      <c r="G268" s="67"/>
      <c r="H268" s="67"/>
      <c r="I268" s="36">
        <f t="shared" si="1"/>
        <v>0</v>
      </c>
      <c r="J268" s="67"/>
      <c r="K268" s="67"/>
      <c r="L268" s="302"/>
      <c r="M268" s="28"/>
      <c r="N268" s="286" t="s">
        <v>1343</v>
      </c>
      <c r="O268" s="286">
        <v>10</v>
      </c>
      <c r="P268" s="286">
        <v>5.5</v>
      </c>
      <c r="Q268" s="12" t="s">
        <v>1245</v>
      </c>
    </row>
    <row r="269" spans="1:17" ht="12.5">
      <c r="A269" s="60"/>
      <c r="B269" s="60" t="s">
        <v>1104</v>
      </c>
      <c r="C269" s="67"/>
      <c r="D269" s="67"/>
      <c r="E269" s="67"/>
      <c r="F269" s="67"/>
      <c r="G269" s="67"/>
      <c r="H269" s="67"/>
      <c r="I269" s="36">
        <f t="shared" si="1"/>
        <v>0</v>
      </c>
      <c r="J269" s="67"/>
      <c r="K269" s="67"/>
      <c r="L269" s="67"/>
      <c r="M269" s="28"/>
      <c r="N269" s="286" t="s">
        <v>1344</v>
      </c>
      <c r="O269" s="286">
        <v>10</v>
      </c>
      <c r="P269" s="286">
        <v>5.5</v>
      </c>
      <c r="Q269" s="12" t="s">
        <v>1243</v>
      </c>
    </row>
    <row r="270" spans="1:17" ht="12.5">
      <c r="A270" s="60" t="s">
        <v>1062</v>
      </c>
      <c r="B270" s="287" t="str">
        <f>HYPERLINK("http://codeforces.com/contest/149/problem/D","CF149-D2-D")</f>
        <v>CF149-D2-D</v>
      </c>
      <c r="C270" s="67"/>
      <c r="D270" s="67"/>
      <c r="E270" s="67"/>
      <c r="F270" s="67"/>
      <c r="G270" s="67"/>
      <c r="H270" s="67"/>
      <c r="I270" s="36">
        <f t="shared" si="1"/>
        <v>0</v>
      </c>
      <c r="J270" s="67"/>
      <c r="K270" s="67"/>
      <c r="L270" s="302"/>
      <c r="M270" s="301" t="str">
        <f>HYPERLINK("https://github.com/osamahatem/CompetitiveProgramming/blob/master/Codeforces/149D.%20Coloring%20Brackets.cpp","Sol")</f>
        <v>Sol</v>
      </c>
      <c r="N270" s="286" t="s">
        <v>1345</v>
      </c>
      <c r="O270" s="286">
        <v>10</v>
      </c>
      <c r="P270" s="286">
        <v>5.5</v>
      </c>
      <c r="Q270" s="12" t="s">
        <v>1243</v>
      </c>
    </row>
    <row r="271" spans="1:17" ht="12.5">
      <c r="A271" s="60"/>
      <c r="B271" s="287" t="str">
        <f>HYPERLINK("http://codeforces.com/contest/1012/problem/C","CF1012-D1-C")</f>
        <v>CF1012-D1-C</v>
      </c>
      <c r="C271" s="67"/>
      <c r="D271" s="67"/>
      <c r="E271" s="67"/>
      <c r="F271" s="67"/>
      <c r="G271" s="67"/>
      <c r="H271" s="67"/>
      <c r="I271" s="36">
        <f t="shared" si="1"/>
        <v>0</v>
      </c>
      <c r="J271" s="36"/>
      <c r="K271" s="36"/>
      <c r="L271" s="302"/>
      <c r="M271" s="191"/>
      <c r="N271" s="286" t="s">
        <v>1338</v>
      </c>
      <c r="O271" s="286">
        <v>10</v>
      </c>
      <c r="P271" s="286">
        <v>5.5</v>
      </c>
      <c r="Q271" s="12" t="s">
        <v>1243</v>
      </c>
    </row>
    <row r="272" spans="1:17" ht="12.5">
      <c r="A272" s="60"/>
      <c r="B272" s="287" t="str">
        <f>HYPERLINK("http://codeforces.com/contest/623/problem/B","CF623-D1-B")</f>
        <v>CF623-D1-B</v>
      </c>
      <c r="C272" s="67"/>
      <c r="D272" s="67"/>
      <c r="E272" s="67"/>
      <c r="F272" s="67"/>
      <c r="G272" s="67"/>
      <c r="H272" s="67"/>
      <c r="I272" s="36">
        <f t="shared" si="1"/>
        <v>0</v>
      </c>
      <c r="J272" s="67"/>
      <c r="K272" s="67"/>
      <c r="L272" s="67"/>
      <c r="M272" s="296"/>
      <c r="N272" s="286" t="s">
        <v>1346</v>
      </c>
      <c r="O272" s="286">
        <v>10</v>
      </c>
      <c r="P272" s="286">
        <v>5.75</v>
      </c>
      <c r="Q272" s="12" t="s">
        <v>1270</v>
      </c>
    </row>
    <row r="273" spans="1:17" ht="12.5">
      <c r="A273" s="60"/>
      <c r="B273" s="287" t="str">
        <f>HYPERLINK("http://codeforces.com/contest/1071/problem/B","CF1072-D2-D")</f>
        <v>CF1072-D2-D</v>
      </c>
      <c r="C273" s="67"/>
      <c r="D273" s="67"/>
      <c r="E273" s="67"/>
      <c r="F273" s="67"/>
      <c r="G273" s="67"/>
      <c r="H273" s="67"/>
      <c r="I273" s="36">
        <f t="shared" si="1"/>
        <v>0</v>
      </c>
      <c r="J273" s="67"/>
      <c r="K273" s="67"/>
      <c r="L273" s="67"/>
      <c r="M273" s="28"/>
      <c r="N273" s="286" t="s">
        <v>1347</v>
      </c>
      <c r="O273" s="286">
        <v>10</v>
      </c>
      <c r="P273" s="286">
        <v>5.75</v>
      </c>
      <c r="Q273" s="12" t="s">
        <v>1245</v>
      </c>
    </row>
    <row r="274" spans="1:17" ht="12.5">
      <c r="A274" s="60"/>
      <c r="B274" s="287" t="str">
        <f>HYPERLINK("http://codeforces.com/contest/1025/problem/D","CF1025-D2-D")</f>
        <v>CF1025-D2-D</v>
      </c>
      <c r="C274" s="67"/>
      <c r="D274" s="67"/>
      <c r="E274" s="67"/>
      <c r="F274" s="67"/>
      <c r="G274" s="67"/>
      <c r="H274" s="67"/>
      <c r="I274" s="36">
        <f t="shared" si="1"/>
        <v>0</v>
      </c>
      <c r="J274" s="67"/>
      <c r="K274" s="67"/>
      <c r="L274" s="67"/>
      <c r="M274" s="28"/>
      <c r="N274" s="286" t="s">
        <v>1348</v>
      </c>
      <c r="O274" s="286">
        <v>10</v>
      </c>
      <c r="P274" s="286">
        <v>6</v>
      </c>
      <c r="Q274" s="12" t="s">
        <v>1243</v>
      </c>
    </row>
    <row r="275" spans="1:17" ht="12.5">
      <c r="A275" s="60"/>
      <c r="B275" s="287" t="str">
        <f>HYPERLINK("https://www.facebook.com/hackercup/problem/180494849326631/","FbHkrCup 18-R1-A")</f>
        <v>FbHkrCup 18-R1-A</v>
      </c>
      <c r="C275" s="67"/>
      <c r="D275" s="67"/>
      <c r="E275" s="67"/>
      <c r="F275" s="67"/>
      <c r="G275" s="67"/>
      <c r="H275" s="67"/>
      <c r="I275" s="36">
        <f t="shared" si="1"/>
        <v>0</v>
      </c>
      <c r="J275" s="36"/>
      <c r="K275" s="36"/>
      <c r="L275" s="67"/>
      <c r="M275" s="191"/>
      <c r="N275" s="286" t="s">
        <v>1349</v>
      </c>
      <c r="O275" s="286">
        <v>11</v>
      </c>
      <c r="P275" s="286">
        <v>5</v>
      </c>
      <c r="Q275" s="12" t="s">
        <v>1243</v>
      </c>
    </row>
    <row r="276" spans="1:17" ht="12.5">
      <c r="A276" s="60" t="s">
        <v>959</v>
      </c>
      <c r="B276" s="287" t="str">
        <f>HYPERLINK("http://codeforces.com/contest/580/problem/D","CF580-D2-D")</f>
        <v>CF580-D2-D</v>
      </c>
      <c r="C276" s="67"/>
      <c r="D276" s="67"/>
      <c r="E276" s="67"/>
      <c r="F276" s="67"/>
      <c r="G276" s="67"/>
      <c r="H276" s="67"/>
      <c r="I276" s="36">
        <f t="shared" si="1"/>
        <v>0</v>
      </c>
      <c r="J276" s="67"/>
      <c r="K276" s="67"/>
      <c r="L276" s="67"/>
      <c r="M276" s="290" t="str">
        <f>HYPERLINK("https://www.youtube.com/watch?v=GvWLpm0tBEU&amp;index=29&amp;list=PLPSFnlxEu99Eds9cvJPk49sljXXvarTxM","Video Solution - Solver to be")</f>
        <v>Video Solution - Solver to be</v>
      </c>
      <c r="N276" s="286" t="s">
        <v>1350</v>
      </c>
      <c r="O276" s="286">
        <v>13</v>
      </c>
      <c r="P276" s="286">
        <v>4</v>
      </c>
      <c r="Q276" s="12" t="s">
        <v>1243</v>
      </c>
    </row>
    <row r="277" spans="1:17" ht="12.5">
      <c r="A277" s="60" t="s">
        <v>920</v>
      </c>
      <c r="B277" s="287" t="str">
        <f>HYPERLINK("http://www.spoj.com/problems/PERMUT1/","SPOJ PERMUT1")</f>
        <v>SPOJ PERMUT1</v>
      </c>
      <c r="C277" s="67"/>
      <c r="D277" s="67"/>
      <c r="E277" s="67"/>
      <c r="F277" s="67"/>
      <c r="G277" s="67"/>
      <c r="H277" s="67"/>
      <c r="I277" s="36">
        <f t="shared" si="1"/>
        <v>0</v>
      </c>
      <c r="J277" s="67"/>
      <c r="K277" s="67"/>
      <c r="L277" s="67"/>
      <c r="M277" s="28"/>
      <c r="N277" s="286" t="s">
        <v>1350</v>
      </c>
      <c r="O277" s="286">
        <v>13</v>
      </c>
      <c r="P277" s="286">
        <v>4</v>
      </c>
      <c r="Q277" s="12" t="s">
        <v>1243</v>
      </c>
    </row>
    <row r="278" spans="1:17" ht="12.5">
      <c r="A278" s="60" t="s">
        <v>960</v>
      </c>
      <c r="B278" s="287" t="str">
        <f>HYPERLINK("http://www.spoj.com/problems/ASSIGN/","SPOJ ASSIGN")</f>
        <v>SPOJ ASSIGN</v>
      </c>
      <c r="C278" s="67"/>
      <c r="D278" s="67"/>
      <c r="E278" s="67"/>
      <c r="F278" s="67"/>
      <c r="G278" s="67"/>
      <c r="H278" s="67"/>
      <c r="I278" s="36">
        <f t="shared" si="1"/>
        <v>0</v>
      </c>
      <c r="J278" s="67"/>
      <c r="K278" s="67"/>
      <c r="L278" s="67"/>
      <c r="M278" s="28"/>
      <c r="N278" s="286" t="s">
        <v>1350</v>
      </c>
      <c r="O278" s="286">
        <v>13</v>
      </c>
      <c r="P278" s="286">
        <v>4</v>
      </c>
      <c r="Q278" s="12" t="s">
        <v>1239</v>
      </c>
    </row>
    <row r="279" spans="1:17" ht="12.5">
      <c r="A279" s="60" t="s">
        <v>958</v>
      </c>
      <c r="B279" s="287" t="str">
        <f>HYPERLINK("https://uva.onlinejudge.org/index.php?option=com_onlinejudge&amp;Itemid=8&amp;page=show_problem&amp;problem=1592","UVA 10651")</f>
        <v>UVA 10651</v>
      </c>
      <c r="C279" s="67"/>
      <c r="D279" s="67"/>
      <c r="E279" s="67"/>
      <c r="F279" s="67"/>
      <c r="G279" s="67"/>
      <c r="H279" s="67"/>
      <c r="I279" s="36">
        <f t="shared" si="1"/>
        <v>0</v>
      </c>
      <c r="J279" s="67"/>
      <c r="K279" s="67"/>
      <c r="L279" s="67"/>
      <c r="M279" s="28"/>
      <c r="N279" s="286" t="s">
        <v>1350</v>
      </c>
      <c r="O279" s="286">
        <v>13</v>
      </c>
      <c r="P279" s="286">
        <v>4</v>
      </c>
      <c r="Q279" s="12" t="s">
        <v>1239</v>
      </c>
    </row>
    <row r="280" spans="1:17" ht="12.5">
      <c r="A280" s="60"/>
      <c r="B280" s="60" t="s">
        <v>929</v>
      </c>
      <c r="C280" s="67"/>
      <c r="D280" s="67"/>
      <c r="E280" s="67"/>
      <c r="F280" s="67"/>
      <c r="G280" s="67"/>
      <c r="H280" s="67"/>
      <c r="I280" s="36">
        <f t="shared" si="1"/>
        <v>0</v>
      </c>
      <c r="J280" s="67"/>
      <c r="K280" s="67"/>
      <c r="L280" s="67"/>
      <c r="M280" s="216" t="str">
        <f>HYPERLINK("https://github.com/ilyesG/Competitive-Programming/blob/master/UVA/UVA%2011825.cpp","Sol")</f>
        <v>Sol</v>
      </c>
      <c r="N280" s="286" t="s">
        <v>1351</v>
      </c>
      <c r="O280" s="286">
        <v>13</v>
      </c>
      <c r="P280" s="286">
        <v>5</v>
      </c>
      <c r="Q280" s="12" t="s">
        <v>1243</v>
      </c>
    </row>
    <row r="281" spans="1:17" ht="12.5">
      <c r="A281" s="60" t="s">
        <v>1192</v>
      </c>
      <c r="B281" s="60" t="s">
        <v>1193</v>
      </c>
      <c r="C281" s="67"/>
      <c r="D281" s="67"/>
      <c r="E281" s="67"/>
      <c r="F281" s="67"/>
      <c r="G281" s="67"/>
      <c r="H281" s="67"/>
      <c r="I281" s="36">
        <f t="shared" si="1"/>
        <v>0</v>
      </c>
      <c r="J281" s="67"/>
      <c r="K281" s="67"/>
      <c r="L281" s="302"/>
      <c r="M281" s="191"/>
      <c r="N281" s="286" t="s">
        <v>1352</v>
      </c>
      <c r="O281" s="286">
        <v>13</v>
      </c>
      <c r="P281" s="286">
        <v>5</v>
      </c>
    </row>
    <row r="282" spans="1:17" ht="14.25" customHeight="1">
      <c r="A282" s="60" t="s">
        <v>1043</v>
      </c>
      <c r="B282" s="287" t="str">
        <f>HYPERLINK("http://codeforces.com/contest/431/problem/D","CF431-D2-D")</f>
        <v>CF431-D2-D</v>
      </c>
      <c r="C282" s="67"/>
      <c r="D282" s="67"/>
      <c r="E282" s="67"/>
      <c r="F282" s="67"/>
      <c r="G282" s="67"/>
      <c r="H282" s="67"/>
      <c r="I282" s="36">
        <f t="shared" si="1"/>
        <v>0</v>
      </c>
      <c r="J282" s="67"/>
      <c r="K282" s="67"/>
      <c r="L282" s="67"/>
      <c r="M282" s="28"/>
      <c r="N282" s="286" t="s">
        <v>1353</v>
      </c>
      <c r="O282" s="286">
        <v>13</v>
      </c>
      <c r="P282" s="286">
        <v>5.5</v>
      </c>
      <c r="Q282" s="12" t="s">
        <v>1245</v>
      </c>
    </row>
    <row r="283" spans="1:17" ht="12.5">
      <c r="A283" s="60" t="s">
        <v>1055</v>
      </c>
      <c r="B283" s="60" t="s">
        <v>1056</v>
      </c>
      <c r="C283" s="67"/>
      <c r="D283" s="67"/>
      <c r="E283" s="67"/>
      <c r="F283" s="67"/>
      <c r="G283" s="67"/>
      <c r="H283" s="67"/>
      <c r="I283" s="36">
        <f t="shared" si="1"/>
        <v>0</v>
      </c>
      <c r="J283" s="67"/>
      <c r="K283" s="67"/>
      <c r="L283" s="302"/>
      <c r="M283" s="301" t="str">
        <f>HYPERLINK("https://github.com/SaraElkadi/competitive-programming-/blob/master/UVA/11284.cpp","Sol")</f>
        <v>Sol</v>
      </c>
      <c r="N283" s="286" t="s">
        <v>1354</v>
      </c>
      <c r="O283" s="286">
        <v>13</v>
      </c>
      <c r="P283" s="286">
        <v>6</v>
      </c>
    </row>
    <row r="284" spans="1:17" ht="12.5">
      <c r="A284" s="60" t="s">
        <v>790</v>
      </c>
      <c r="B284" s="287" t="str">
        <f>HYPERLINK("https://uva.onlinejudge.org/index.php?option=com_onlinejudge&amp;Itemid=8&amp;page=show_problem&amp;problem=698","UVA 757")</f>
        <v>UVA 757</v>
      </c>
      <c r="C284" s="67"/>
      <c r="D284" s="67"/>
      <c r="E284" s="67"/>
      <c r="F284" s="67"/>
      <c r="G284" s="67"/>
      <c r="H284" s="67"/>
      <c r="I284" s="36">
        <f t="shared" si="1"/>
        <v>0</v>
      </c>
      <c r="J284" s="36"/>
      <c r="K284" s="36"/>
      <c r="L284" s="67"/>
      <c r="M284" s="290" t="str">
        <f>HYPERLINK("https://github.com/magdy-hasan/competitive-programming/blob/master/uva-/uva%20757%20-%20Gone%20Fishing.cpp","Sol to read")</f>
        <v>Sol to read</v>
      </c>
      <c r="N284" s="286" t="s">
        <v>1355</v>
      </c>
      <c r="O284" s="286">
        <v>15</v>
      </c>
      <c r="P284" s="286">
        <v>3</v>
      </c>
    </row>
    <row r="285" spans="1:17" ht="12.5">
      <c r="A285" s="60" t="s">
        <v>787</v>
      </c>
      <c r="B285" s="287" t="str">
        <f>HYPERLINK("https://uva.onlinejudge.org/index.php?option=com_onlinejudge&amp;Itemid=8&amp;page=show_problem&amp;problem=1394","UVA 10453")</f>
        <v>UVA 10453</v>
      </c>
      <c r="C285" s="67"/>
      <c r="D285" s="67"/>
      <c r="E285" s="67"/>
      <c r="F285" s="67"/>
      <c r="G285" s="67"/>
      <c r="H285" s="67"/>
      <c r="I285" s="36">
        <f t="shared" si="1"/>
        <v>0</v>
      </c>
      <c r="J285" s="36"/>
      <c r="K285" s="36"/>
      <c r="L285" s="67"/>
      <c r="M285" s="301" t="str">
        <f>HYPERLINK("https://github.com/ilyesG/Competitive-Programming/blob/master/UVA/UVA%2010453.cpp","Sol")</f>
        <v>Sol</v>
      </c>
      <c r="N285" s="286" t="s">
        <v>1356</v>
      </c>
      <c r="O285" s="286">
        <v>15</v>
      </c>
      <c r="P285" s="286">
        <v>3.5</v>
      </c>
      <c r="Q285" s="12" t="s">
        <v>1245</v>
      </c>
    </row>
    <row r="286" spans="1:17" ht="12.5">
      <c r="A286" s="60" t="s">
        <v>788</v>
      </c>
      <c r="B286" s="287" t="str">
        <f>HYPERLINK("https://uva.onlinejudge.org/index.php?option=com_onlinejudge&amp;Itemid=8&amp;page=show_problem&amp;problem=603","UVA 662")</f>
        <v>UVA 662</v>
      </c>
      <c r="C286" s="67"/>
      <c r="D286" s="67"/>
      <c r="E286" s="67"/>
      <c r="F286" s="67"/>
      <c r="G286" s="67"/>
      <c r="H286" s="67"/>
      <c r="I286" s="36">
        <f t="shared" si="1"/>
        <v>0</v>
      </c>
      <c r="J286" s="36"/>
      <c r="K286" s="36"/>
      <c r="L286" s="67"/>
      <c r="M286" s="60"/>
      <c r="N286" s="286" t="s">
        <v>1355</v>
      </c>
      <c r="O286" s="286">
        <v>15</v>
      </c>
      <c r="P286" s="286">
        <v>4.5</v>
      </c>
      <c r="Q286" s="12" t="s">
        <v>1243</v>
      </c>
    </row>
    <row r="287" spans="1:17" ht="12.5">
      <c r="A287" s="60" t="s">
        <v>789</v>
      </c>
      <c r="B287" s="287" t="str">
        <f>HYPERLINK("https://uva.onlinejudge.org/index.php?option=onlinejudge&amp;page=show_problem&amp;problem=2399","UVA 11404")</f>
        <v>UVA 11404</v>
      </c>
      <c r="C287" s="67"/>
      <c r="D287" s="67"/>
      <c r="E287" s="67"/>
      <c r="F287" s="67"/>
      <c r="G287" s="67"/>
      <c r="H287" s="67"/>
      <c r="I287" s="36">
        <f t="shared" si="1"/>
        <v>0</v>
      </c>
      <c r="J287" s="36"/>
      <c r="K287" s="36"/>
      <c r="L287" s="67"/>
      <c r="M287" s="60"/>
      <c r="N287" s="286" t="s">
        <v>1355</v>
      </c>
      <c r="O287" s="286">
        <v>15</v>
      </c>
      <c r="P287" s="286">
        <v>4.5</v>
      </c>
    </row>
    <row r="288" spans="1:17" ht="12.5">
      <c r="A288" s="60" t="s">
        <v>786</v>
      </c>
      <c r="B288" s="287" t="str">
        <f>HYPERLINK("https://uva.onlinejudge.org/index.php?option=com_onlinejudge&amp;Itemid=8&amp;page=show_problem&amp;problem=52","UVA 116")</f>
        <v>UVA 116</v>
      </c>
      <c r="C288" s="67"/>
      <c r="D288" s="67"/>
      <c r="E288" s="67"/>
      <c r="F288" s="67"/>
      <c r="G288" s="67"/>
      <c r="H288" s="67"/>
      <c r="I288" s="36">
        <f t="shared" si="1"/>
        <v>0</v>
      </c>
      <c r="J288" s="36"/>
      <c r="K288" s="36"/>
      <c r="L288" s="67"/>
      <c r="M288" s="60"/>
      <c r="N288" s="286" t="s">
        <v>1355</v>
      </c>
      <c r="O288" s="286">
        <v>15</v>
      </c>
      <c r="P288" s="286">
        <v>4.5</v>
      </c>
    </row>
    <row r="289" spans="1:17" ht="12.5">
      <c r="A289" s="60" t="s">
        <v>1357</v>
      </c>
      <c r="B289" s="287" t="str">
        <f>HYPERLINK("http://codeforces.com/contest/56/problem/D","CF56-D2-D")</f>
        <v>CF56-D2-D</v>
      </c>
      <c r="C289" s="67"/>
      <c r="D289" s="67"/>
      <c r="E289" s="67"/>
      <c r="F289" s="67"/>
      <c r="G289" s="67"/>
      <c r="H289" s="67"/>
      <c r="I289" s="36">
        <f t="shared" si="1"/>
        <v>0</v>
      </c>
      <c r="J289" s="67"/>
      <c r="K289" s="67"/>
      <c r="L289" s="67"/>
      <c r="M289" s="60"/>
      <c r="N289" s="286" t="s">
        <v>1358</v>
      </c>
      <c r="O289" s="286">
        <v>15</v>
      </c>
      <c r="P289" s="286">
        <v>4.5</v>
      </c>
    </row>
    <row r="290" spans="1:17" ht="12.5">
      <c r="A290" s="60" t="s">
        <v>794</v>
      </c>
      <c r="B290" s="287" t="str">
        <f>HYPERLINK("http://codeforces.com/contest/118/problem/D","CF118-D2-D")</f>
        <v>CF118-D2-D</v>
      </c>
      <c r="C290" s="67"/>
      <c r="D290" s="67"/>
      <c r="E290" s="67"/>
      <c r="F290" s="67"/>
      <c r="G290" s="67"/>
      <c r="H290" s="67"/>
      <c r="I290" s="36">
        <f t="shared" si="1"/>
        <v>0</v>
      </c>
      <c r="J290" s="36"/>
      <c r="K290" s="36"/>
      <c r="L290" s="67"/>
      <c r="M290" s="181"/>
      <c r="N290" s="286" t="s">
        <v>1359</v>
      </c>
      <c r="O290" s="286">
        <v>18</v>
      </c>
      <c r="P290" s="286">
        <v>3</v>
      </c>
    </row>
    <row r="291" spans="1:17" ht="12.5">
      <c r="A291" s="287" t="str">
        <f>HYPERLINK("https://community.topcoder.com/stat?c=problem_statement&amp;pm=4471&amp;rd=10711","UnsealTheSafe")</f>
        <v>UnsealTheSafe</v>
      </c>
      <c r="B291" s="60" t="s">
        <v>795</v>
      </c>
      <c r="C291" s="67"/>
      <c r="D291" s="67"/>
      <c r="E291" s="67"/>
      <c r="F291" s="67"/>
      <c r="G291" s="67"/>
      <c r="H291" s="67"/>
      <c r="I291" s="36">
        <f t="shared" si="1"/>
        <v>0</v>
      </c>
      <c r="J291" s="36"/>
      <c r="K291" s="36"/>
      <c r="L291" s="67"/>
      <c r="M291" s="181"/>
      <c r="N291" s="286" t="s">
        <v>1359</v>
      </c>
      <c r="O291" s="286">
        <v>18</v>
      </c>
      <c r="P291" s="286">
        <v>3</v>
      </c>
    </row>
    <row r="292" spans="1:17" ht="12.5">
      <c r="A292" s="60" t="s">
        <v>793</v>
      </c>
      <c r="B292" s="287" t="str">
        <f>HYPERLINK("http://codeforces.com/contest/431/problem/C","CF431-D2-C")</f>
        <v>CF431-D2-C</v>
      </c>
      <c r="C292" s="67"/>
      <c r="D292" s="67"/>
      <c r="E292" s="67"/>
      <c r="F292" s="67"/>
      <c r="G292" s="67"/>
      <c r="H292" s="67"/>
      <c r="I292" s="36">
        <f t="shared" si="1"/>
        <v>0</v>
      </c>
      <c r="J292" s="36"/>
      <c r="K292" s="36"/>
      <c r="L292" s="67"/>
      <c r="M292" s="290" t="str">
        <f>HYPERLINK("https://www.youtube.com/watch?v=M7UEOmsCxuQ","Video Solution - Solver to be (Java)")</f>
        <v>Video Solution - Solver to be (Java)</v>
      </c>
      <c r="N292" s="286" t="s">
        <v>1360</v>
      </c>
      <c r="O292" s="286">
        <v>18</v>
      </c>
      <c r="P292" s="286">
        <v>3.5</v>
      </c>
    </row>
    <row r="293" spans="1:17" ht="12.5">
      <c r="A293" s="287" t="str">
        <f>HYPERLINK("https://community.topcoder.com/stat?c=problem_statement&amp;pm=7601&amp;rd=10673","DiceGames")</f>
        <v>DiceGames</v>
      </c>
      <c r="B293" s="60" t="s">
        <v>796</v>
      </c>
      <c r="C293" s="67"/>
      <c r="D293" s="67"/>
      <c r="E293" s="67"/>
      <c r="F293" s="67"/>
      <c r="G293" s="67"/>
      <c r="H293" s="67"/>
      <c r="I293" s="36">
        <f t="shared" si="1"/>
        <v>0</v>
      </c>
      <c r="J293" s="67"/>
      <c r="K293" s="67"/>
      <c r="L293" s="67"/>
      <c r="M293" s="28"/>
      <c r="N293" s="286" t="s">
        <v>1359</v>
      </c>
      <c r="O293" s="286">
        <v>18</v>
      </c>
      <c r="P293" s="286">
        <v>4</v>
      </c>
      <c r="Q293" s="12" t="s">
        <v>1243</v>
      </c>
    </row>
    <row r="294" spans="1:17" ht="12.5">
      <c r="A294" s="60" t="s">
        <v>885</v>
      </c>
      <c r="B294" s="287" t="str">
        <f>HYPERLINK("http://codeforces.com/contest/474/problem/D","CF474-D2-D")</f>
        <v>CF474-D2-D</v>
      </c>
      <c r="C294" s="67"/>
      <c r="D294" s="67"/>
      <c r="E294" s="67"/>
      <c r="F294" s="67"/>
      <c r="G294" s="67"/>
      <c r="H294" s="67"/>
      <c r="I294" s="36">
        <f t="shared" si="1"/>
        <v>0</v>
      </c>
      <c r="J294" s="67"/>
      <c r="K294" s="67"/>
      <c r="L294" s="67"/>
      <c r="M294" s="296" t="str">
        <f>HYPERLINK("https://www.youtube.com/watch?v=uRCruqJOQXw","Video Solution - Solver to be (Java)")</f>
        <v>Video Solution - Solver to be (Java)</v>
      </c>
      <c r="N294" s="286" t="s">
        <v>1359</v>
      </c>
      <c r="O294" s="286">
        <v>18</v>
      </c>
      <c r="P294" s="286">
        <v>4.5</v>
      </c>
      <c r="Q294" s="12" t="s">
        <v>1243</v>
      </c>
    </row>
    <row r="295" spans="1:17" ht="12.5">
      <c r="A295" s="60"/>
      <c r="B295" s="60" t="s">
        <v>914</v>
      </c>
      <c r="C295" s="67"/>
      <c r="D295" s="67"/>
      <c r="E295" s="67"/>
      <c r="F295" s="67"/>
      <c r="G295" s="67"/>
      <c r="H295" s="67"/>
      <c r="I295" s="36">
        <f t="shared" si="1"/>
        <v>0</v>
      </c>
      <c r="J295" s="36"/>
      <c r="K295" s="36"/>
      <c r="L295" s="67"/>
      <c r="M295" s="60"/>
      <c r="N295" s="286" t="s">
        <v>1361</v>
      </c>
      <c r="O295" s="286">
        <v>18</v>
      </c>
      <c r="P295" s="286">
        <v>5</v>
      </c>
      <c r="Q295" s="12" t="s">
        <v>1243</v>
      </c>
    </row>
    <row r="296" spans="1:17" ht="12.5">
      <c r="A296" s="60"/>
      <c r="B296" s="60" t="s">
        <v>1220</v>
      </c>
      <c r="C296" s="67"/>
      <c r="D296" s="67"/>
      <c r="E296" s="67"/>
      <c r="F296" s="67"/>
      <c r="G296" s="67"/>
      <c r="H296" s="67"/>
      <c r="I296" s="36">
        <f t="shared" si="1"/>
        <v>0</v>
      </c>
      <c r="J296" s="67"/>
      <c r="K296" s="67"/>
      <c r="L296" s="67"/>
      <c r="M296" s="28"/>
      <c r="N296" s="286" t="s">
        <v>1362</v>
      </c>
      <c r="O296" s="286">
        <v>18</v>
      </c>
      <c r="P296" s="286">
        <v>5</v>
      </c>
    </row>
    <row r="297" spans="1:17" ht="12.5">
      <c r="A297" s="60"/>
      <c r="B297" s="60" t="s">
        <v>1073</v>
      </c>
      <c r="C297" s="67"/>
      <c r="D297" s="67"/>
      <c r="E297" s="67"/>
      <c r="F297" s="67"/>
      <c r="G297" s="67"/>
      <c r="H297" s="67"/>
      <c r="I297" s="36">
        <f t="shared" si="1"/>
        <v>0</v>
      </c>
      <c r="J297" s="67"/>
      <c r="K297" s="67"/>
      <c r="L297" s="67"/>
      <c r="M297" s="286"/>
      <c r="N297" s="286" t="s">
        <v>1363</v>
      </c>
      <c r="O297" s="286">
        <v>18</v>
      </c>
      <c r="P297" s="286">
        <v>6.25</v>
      </c>
      <c r="Q297" s="12" t="s">
        <v>1270</v>
      </c>
    </row>
    <row r="298" spans="1:17" ht="12.5">
      <c r="A298" s="60" t="s">
        <v>1021</v>
      </c>
      <c r="B298" s="287" t="str">
        <f>HYPERLINK("http://codeforces.com/contest/276/problem/D","CF276-D2-D")</f>
        <v>CF276-D2-D</v>
      </c>
      <c r="C298" s="67"/>
      <c r="D298" s="67"/>
      <c r="E298" s="67"/>
      <c r="F298" s="67"/>
      <c r="G298" s="67"/>
      <c r="H298" s="67"/>
      <c r="I298" s="36">
        <f t="shared" si="1"/>
        <v>0</v>
      </c>
      <c r="J298" s="67"/>
      <c r="K298" s="67"/>
      <c r="L298" s="302"/>
      <c r="M298" s="306" t="str">
        <f>HYPERLINK("http://codeforces.com/blog/entry/6779","See editorials")</f>
        <v>See editorials</v>
      </c>
      <c r="N298" s="286" t="s">
        <v>1364</v>
      </c>
      <c r="O298" s="286">
        <v>22</v>
      </c>
      <c r="P298" s="286">
        <v>4.5</v>
      </c>
      <c r="Q298" s="12" t="s">
        <v>1239</v>
      </c>
    </row>
    <row r="299" spans="1:17" ht="12.5">
      <c r="A299" s="60" t="s">
        <v>1118</v>
      </c>
      <c r="B299" s="287" t="str">
        <f>HYPERLINK("http://codeforces.com/contest/401/problem/D","CF401-D2-D")</f>
        <v>CF401-D2-D</v>
      </c>
      <c r="C299" s="67"/>
      <c r="D299" s="67"/>
      <c r="E299" s="67"/>
      <c r="F299" s="67"/>
      <c r="G299" s="67"/>
      <c r="H299" s="67"/>
      <c r="I299" s="36">
        <f t="shared" si="1"/>
        <v>0</v>
      </c>
      <c r="J299" s="36"/>
      <c r="K299" s="36"/>
      <c r="L299" s="302"/>
      <c r="M299" s="191"/>
      <c r="N299" s="286" t="s">
        <v>1365</v>
      </c>
      <c r="O299" s="286">
        <v>22</v>
      </c>
      <c r="P299" s="286">
        <v>5</v>
      </c>
      <c r="Q299" s="12" t="s">
        <v>1245</v>
      </c>
    </row>
    <row r="300" spans="1:17" ht="12.5">
      <c r="A300" s="60" t="s">
        <v>804</v>
      </c>
      <c r="B300" s="287" t="str">
        <f>HYPERLINK("http://codeforces.com/contest/160/problem/C","CF160-D2-C")</f>
        <v>CF160-D2-C</v>
      </c>
      <c r="C300" s="67"/>
      <c r="D300" s="67"/>
      <c r="E300" s="67"/>
      <c r="F300" s="67"/>
      <c r="G300" s="67"/>
      <c r="H300" s="67"/>
      <c r="I300" s="36">
        <f t="shared" si="1"/>
        <v>0</v>
      </c>
      <c r="J300" s="36"/>
      <c r="K300" s="36"/>
      <c r="L300" s="67"/>
      <c r="M300" s="60"/>
      <c r="N300" s="286" t="s">
        <v>1366</v>
      </c>
      <c r="O300" s="286">
        <v>22</v>
      </c>
      <c r="P300" s="286">
        <v>5</v>
      </c>
    </row>
    <row r="301" spans="1:17" ht="12.5">
      <c r="A301" s="287" t="str">
        <f>HYPERLINK("https://community.topcoder.com/stat?c=problem_statement&amp;pm=3491&amp;rd=6517","BagsOfGold")</f>
        <v>BagsOfGold</v>
      </c>
      <c r="B301" s="60" t="s">
        <v>1012</v>
      </c>
      <c r="C301" s="67"/>
      <c r="D301" s="67"/>
      <c r="E301" s="67"/>
      <c r="F301" s="67"/>
      <c r="G301" s="67"/>
      <c r="H301" s="67"/>
      <c r="I301" s="36">
        <f t="shared" si="1"/>
        <v>0</v>
      </c>
      <c r="J301" s="36"/>
      <c r="K301" s="36"/>
      <c r="L301" s="67"/>
      <c r="M301" s="60"/>
      <c r="N301" s="286" t="s">
        <v>1367</v>
      </c>
      <c r="O301" s="286">
        <v>23</v>
      </c>
      <c r="P301" s="286">
        <v>3</v>
      </c>
      <c r="Q301" s="12" t="s">
        <v>1245</v>
      </c>
    </row>
    <row r="302" spans="1:17" ht="12.5">
      <c r="A302" s="60" t="s">
        <v>1009</v>
      </c>
      <c r="B302" s="287" t="str">
        <f>HYPERLINK("https://uva.onlinejudge.org/index.php?option=com_onlinejudge&amp;Itemid=8&amp;page=show_problem&amp;problem=1345","UVA 10404")</f>
        <v>UVA 10404</v>
      </c>
      <c r="C302" s="67"/>
      <c r="D302" s="67"/>
      <c r="E302" s="67"/>
      <c r="F302" s="67"/>
      <c r="G302" s="67"/>
      <c r="H302" s="67"/>
      <c r="I302" s="36">
        <f t="shared" si="1"/>
        <v>0</v>
      </c>
      <c r="J302" s="36"/>
      <c r="K302" s="36"/>
      <c r="L302" s="67"/>
      <c r="M302" s="301" t="str">
        <f>HYPERLINK("https://github.com/VAMPIER000001/CompetitiveProgramming/blob/58946d0dcba06adfc2c5ec0b423546a6a0c6da9c/UVA/V-104/UVA%2010404.Cpp","Sol")</f>
        <v>Sol</v>
      </c>
      <c r="N302" s="286" t="s">
        <v>1368</v>
      </c>
      <c r="O302" s="286">
        <v>23</v>
      </c>
      <c r="P302" s="286">
        <v>3</v>
      </c>
    </row>
    <row r="303" spans="1:17" ht="12.5">
      <c r="A303" s="287" t="str">
        <f>HYPERLINK("https://community.topcoder.com/stat?c=problem_statement&amp;pm=11566&amp;rd=14547","RowAndCoins")</f>
        <v>RowAndCoins</v>
      </c>
      <c r="B303" s="60" t="s">
        <v>1011</v>
      </c>
      <c r="C303" s="67"/>
      <c r="D303" s="67"/>
      <c r="E303" s="67"/>
      <c r="F303" s="67"/>
      <c r="G303" s="67"/>
      <c r="H303" s="67"/>
      <c r="I303" s="36">
        <f t="shared" si="1"/>
        <v>0</v>
      </c>
      <c r="J303" s="36"/>
      <c r="K303" s="36"/>
      <c r="L303" s="67"/>
      <c r="M303" s="60"/>
      <c r="N303" s="286" t="s">
        <v>1369</v>
      </c>
      <c r="O303" s="286">
        <v>23</v>
      </c>
      <c r="P303" s="286">
        <v>3</v>
      </c>
    </row>
    <row r="304" spans="1:17" ht="12.5">
      <c r="A304" s="60"/>
      <c r="B304" s="287" t="str">
        <f>HYPERLINK("https://codeforces.com/contest/1033/problem/C","CF1033-D12-C")</f>
        <v>CF1033-D12-C</v>
      </c>
      <c r="C304" s="67"/>
      <c r="D304" s="67"/>
      <c r="E304" s="67"/>
      <c r="F304" s="67"/>
      <c r="G304" s="67"/>
      <c r="H304" s="67"/>
      <c r="I304" s="36">
        <f t="shared" si="1"/>
        <v>0</v>
      </c>
      <c r="J304" s="67"/>
      <c r="K304" s="67"/>
      <c r="L304" s="67"/>
      <c r="M304" s="60"/>
      <c r="N304" s="286" t="s">
        <v>1370</v>
      </c>
      <c r="O304" s="286">
        <v>23</v>
      </c>
      <c r="P304" s="286">
        <v>4</v>
      </c>
      <c r="Q304" s="12" t="s">
        <v>1245</v>
      </c>
    </row>
    <row r="305" spans="1:17" ht="12.5">
      <c r="A305" s="287" t="str">
        <f>HYPERLINK("https://community.topcoder.com/stat?c=problem_statement&amp;pm=11791&amp;rd=14727","EllysCheckers")</f>
        <v>EllysCheckers</v>
      </c>
      <c r="B305" s="60" t="s">
        <v>1010</v>
      </c>
      <c r="C305" s="67"/>
      <c r="D305" s="67"/>
      <c r="E305" s="67"/>
      <c r="F305" s="67"/>
      <c r="G305" s="67"/>
      <c r="H305" s="67"/>
      <c r="I305" s="36">
        <f t="shared" si="1"/>
        <v>0</v>
      </c>
      <c r="J305" s="36"/>
      <c r="K305" s="36"/>
      <c r="L305" s="67"/>
      <c r="M305" s="60"/>
      <c r="N305" s="286" t="s">
        <v>1371</v>
      </c>
      <c r="O305" s="286">
        <v>23</v>
      </c>
      <c r="P305" s="286">
        <v>4</v>
      </c>
    </row>
    <row r="306" spans="1:17" ht="12.5">
      <c r="A306" s="60" t="s">
        <v>1013</v>
      </c>
      <c r="B306" s="287" t="str">
        <f>HYPERLINK("http://codeforces.com/contest/148/problem/D","CF148-D2-D")</f>
        <v>CF148-D2-D</v>
      </c>
      <c r="C306" s="67"/>
      <c r="D306" s="67"/>
      <c r="E306" s="67"/>
      <c r="F306" s="67"/>
      <c r="G306" s="67"/>
      <c r="H306" s="67"/>
      <c r="I306" s="36">
        <f t="shared" si="1"/>
        <v>0</v>
      </c>
      <c r="J306" s="67"/>
      <c r="K306" s="67"/>
      <c r="L306" s="67"/>
      <c r="M306" s="28"/>
      <c r="N306" s="286" t="s">
        <v>1372</v>
      </c>
      <c r="O306" s="286">
        <v>23</v>
      </c>
      <c r="P306" s="286">
        <v>4.5</v>
      </c>
      <c r="Q306" s="12" t="s">
        <v>1243</v>
      </c>
    </row>
    <row r="307" spans="1:17" ht="12.5">
      <c r="A307" s="60" t="s">
        <v>1214</v>
      </c>
      <c r="B307" s="287" t="str">
        <f>HYPERLINK("https://uva.onlinejudge.org/index.php?option=com_onlinejudge&amp;Itemid=8&amp;page=show_problem&amp;problem=1519","UVA 10578")</f>
        <v>UVA 10578</v>
      </c>
      <c r="C307" s="67"/>
      <c r="D307" s="67"/>
      <c r="E307" s="67"/>
      <c r="F307" s="67"/>
      <c r="G307" s="67"/>
      <c r="H307" s="67"/>
      <c r="I307" s="36">
        <f t="shared" si="1"/>
        <v>0</v>
      </c>
      <c r="J307" s="36"/>
      <c r="K307" s="36"/>
      <c r="L307" s="302"/>
      <c r="M307" s="301" t="str">
        <f>HYPERLINK("https://github.com/abdullaAshraf/Problem-Solving/blob/master/UVA/10578.cpp","Sol")</f>
        <v>Sol</v>
      </c>
      <c r="N307" s="286" t="s">
        <v>1368</v>
      </c>
      <c r="O307" s="286">
        <v>23</v>
      </c>
      <c r="P307" s="286">
        <v>4.5</v>
      </c>
    </row>
    <row r="308" spans="1:17" ht="12.5">
      <c r="A308" s="60" t="s">
        <v>1127</v>
      </c>
      <c r="B308" s="287" t="str">
        <f>HYPERLINK("https://uva.onlinejudge.org/index.php?option=com_onlinejudge&amp;Itemid=8&amp;page=show_problem&amp;problem=1052","UVA 10111")</f>
        <v>UVA 10111</v>
      </c>
      <c r="C308" s="67"/>
      <c r="D308" s="67"/>
      <c r="E308" s="67"/>
      <c r="F308" s="67"/>
      <c r="G308" s="67"/>
      <c r="H308" s="67"/>
      <c r="I308" s="36">
        <f t="shared" si="1"/>
        <v>0</v>
      </c>
      <c r="J308" s="36"/>
      <c r="K308" s="36"/>
      <c r="L308" s="302"/>
      <c r="M308" s="216" t="str">
        <f>HYPERLINK("https://github.com/mostafa-saad/MyCompetitiveProgramming/blob/master/UVA/UVA_10111.txt","Sol")</f>
        <v>Sol</v>
      </c>
      <c r="N308" s="286" t="s">
        <v>1373</v>
      </c>
      <c r="O308" s="286">
        <v>23</v>
      </c>
      <c r="P308" s="286">
        <v>5.5</v>
      </c>
      <c r="Q308" s="12" t="s">
        <v>1245</v>
      </c>
    </row>
    <row r="309" spans="1:17" ht="12.5">
      <c r="A309" s="60" t="s">
        <v>945</v>
      </c>
      <c r="B309" s="287" t="str">
        <f>HYPERLINK("https://uva.onlinejudge.org/index.php?option=com_onlinejudge&amp;Itemid=8&amp;page=show_problem&amp;problem=3888","UVA 12457")</f>
        <v>UVA 12457</v>
      </c>
      <c r="C309" s="67"/>
      <c r="D309" s="67"/>
      <c r="E309" s="67"/>
      <c r="F309" s="67"/>
      <c r="G309" s="67"/>
      <c r="H309" s="67"/>
      <c r="I309" s="36">
        <f t="shared" si="1"/>
        <v>0</v>
      </c>
      <c r="J309" s="67"/>
      <c r="K309" s="67"/>
      <c r="L309" s="302"/>
      <c r="M309" s="216" t="str">
        <f>HYPERLINK("https://github.com/3agwa/CompetitiveProgramming/blob/master/UVA/UVA%2012457","Sol")</f>
        <v>Sol</v>
      </c>
      <c r="N309" s="286" t="s">
        <v>1374</v>
      </c>
      <c r="O309" s="286">
        <v>29</v>
      </c>
      <c r="P309" s="286">
        <v>3.5</v>
      </c>
    </row>
    <row r="310" spans="1:17" ht="12.5">
      <c r="A310" s="60" t="s">
        <v>997</v>
      </c>
      <c r="B310" s="287" t="str">
        <f>HYPERLINK("http://codeforces.com/contest/54/problem/C","CF54-D12-C")</f>
        <v>CF54-D12-C</v>
      </c>
      <c r="C310" s="67"/>
      <c r="D310" s="67"/>
      <c r="E310" s="67"/>
      <c r="F310" s="67"/>
      <c r="G310" s="67"/>
      <c r="H310" s="67"/>
      <c r="I310" s="36">
        <f t="shared" si="1"/>
        <v>0</v>
      </c>
      <c r="J310" s="67"/>
      <c r="K310" s="67"/>
      <c r="L310" s="67"/>
      <c r="M310" s="286"/>
      <c r="N310" s="286" t="s">
        <v>1375</v>
      </c>
      <c r="O310" s="286">
        <v>29</v>
      </c>
      <c r="P310" s="286">
        <v>4</v>
      </c>
      <c r="Q310" s="12" t="s">
        <v>1243</v>
      </c>
    </row>
    <row r="311" spans="1:17" ht="12.5">
      <c r="A311" s="60" t="s">
        <v>943</v>
      </c>
      <c r="B311" s="287" t="str">
        <f>HYPERLINK("https://uva.onlinejudge.org/index.php?option=onlinejudge&amp;page=show_problem&amp;problem=483","UVA 542")</f>
        <v>UVA 542</v>
      </c>
      <c r="C311" s="67"/>
      <c r="D311" s="67"/>
      <c r="E311" s="67"/>
      <c r="F311" s="67"/>
      <c r="G311" s="67"/>
      <c r="H311" s="67"/>
      <c r="I311" s="36">
        <f t="shared" si="1"/>
        <v>0</v>
      </c>
      <c r="J311" s="67"/>
      <c r="K311" s="67"/>
      <c r="L311" s="302"/>
      <c r="M311" s="216" t="str">
        <f>HYPERLINK("https://github.com/mostafa-saad/MyCompetitiveProgramming/blob/master/UVA/UVA_542.txt","Sol")</f>
        <v>Sol</v>
      </c>
      <c r="N311" s="286" t="s">
        <v>1376</v>
      </c>
      <c r="O311" s="286">
        <v>29</v>
      </c>
      <c r="P311" s="286">
        <v>4.5</v>
      </c>
      <c r="Q311" s="12" t="s">
        <v>1245</v>
      </c>
    </row>
    <row r="312" spans="1:17" ht="12.5">
      <c r="A312" s="60" t="s">
        <v>1054</v>
      </c>
      <c r="B312" s="287" t="str">
        <f>HYPERLINK("http://codeforces.com/contest/540/problem/D","CF540-D2-D")</f>
        <v>CF540-D2-D</v>
      </c>
      <c r="C312" s="67"/>
      <c r="D312" s="67"/>
      <c r="E312" s="67"/>
      <c r="F312" s="67"/>
      <c r="G312" s="67"/>
      <c r="H312" s="67"/>
      <c r="I312" s="36">
        <f t="shared" si="1"/>
        <v>0</v>
      </c>
      <c r="J312" s="67"/>
      <c r="K312" s="67"/>
      <c r="L312" s="67"/>
      <c r="M312" s="28"/>
      <c r="N312" s="286" t="s">
        <v>1375</v>
      </c>
      <c r="O312" s="286">
        <v>29</v>
      </c>
      <c r="P312" s="286">
        <v>4.5</v>
      </c>
      <c r="Q312" s="12" t="s">
        <v>1243</v>
      </c>
    </row>
    <row r="313" spans="1:17" ht="12.5">
      <c r="A313" s="287" t="str">
        <f>HYPERLINK("https://community.topcoder.com/stat?c=problem_statement&amp;pm=7422&amp;rd=10663","TestBettingStrategy")</f>
        <v>TestBettingStrategy</v>
      </c>
      <c r="B313" s="60" t="s">
        <v>941</v>
      </c>
      <c r="C313" s="67"/>
      <c r="D313" s="67"/>
      <c r="E313" s="67"/>
      <c r="F313" s="67"/>
      <c r="G313" s="67"/>
      <c r="H313" s="67"/>
      <c r="I313" s="36">
        <f t="shared" si="1"/>
        <v>0</v>
      </c>
      <c r="J313" s="67"/>
      <c r="K313" s="67"/>
      <c r="L313" s="67"/>
      <c r="M313" s="191"/>
      <c r="N313" s="286" t="s">
        <v>1375</v>
      </c>
      <c r="O313" s="286">
        <v>29</v>
      </c>
      <c r="P313" s="286">
        <v>4.5</v>
      </c>
      <c r="Q313" s="12" t="s">
        <v>1243</v>
      </c>
    </row>
    <row r="314" spans="1:17" ht="12.5">
      <c r="A314" s="60" t="s">
        <v>940</v>
      </c>
      <c r="B314" s="287" t="str">
        <f>HYPERLINK("https://uva.onlinejudge.org/index.php?option=com_onlinejudge&amp;Itemid=8&amp;page=show_problem&amp;problem=1700","UVA 10759")</f>
        <v>UVA 10759</v>
      </c>
      <c r="C314" s="67"/>
      <c r="D314" s="67"/>
      <c r="E314" s="67"/>
      <c r="F314" s="67"/>
      <c r="G314" s="67"/>
      <c r="H314" s="67"/>
      <c r="I314" s="36">
        <f t="shared" si="1"/>
        <v>0</v>
      </c>
      <c r="J314" s="67"/>
      <c r="K314" s="67"/>
      <c r="L314" s="67"/>
      <c r="M314" s="216" t="str">
        <f>HYPERLINK("https://github.com/VAMPIER000001/CompetitiveProgramming/blob/master/UVA/V-107/UVa%2010759.cpp","Sol")</f>
        <v>Sol</v>
      </c>
      <c r="N314" s="286" t="s">
        <v>1377</v>
      </c>
      <c r="O314" s="286">
        <v>29</v>
      </c>
      <c r="P314" s="286">
        <v>4.5</v>
      </c>
      <c r="Q314" s="12" t="s">
        <v>1243</v>
      </c>
    </row>
    <row r="315" spans="1:17" ht="12.5">
      <c r="A315" s="60" t="s">
        <v>1175</v>
      </c>
      <c r="B315" s="287" t="str">
        <f>HYPERLINK("http://codeforces.com/contest/168/problem/D","CF168-D2-D")</f>
        <v>CF168-D2-D</v>
      </c>
      <c r="C315" s="67"/>
      <c r="D315" s="67"/>
      <c r="E315" s="67"/>
      <c r="F315" s="67"/>
      <c r="G315" s="67"/>
      <c r="H315" s="67"/>
      <c r="I315" s="36">
        <f t="shared" si="1"/>
        <v>0</v>
      </c>
      <c r="J315" s="36"/>
      <c r="K315" s="36"/>
      <c r="L315" s="302"/>
      <c r="M315" s="28"/>
      <c r="N315" s="286" t="s">
        <v>1375</v>
      </c>
      <c r="O315" s="286">
        <v>29</v>
      </c>
      <c r="P315" s="286">
        <v>4.5</v>
      </c>
    </row>
    <row r="316" spans="1:17" ht="12.5">
      <c r="A316" s="60"/>
      <c r="B316" s="287" t="str">
        <f>HYPERLINK("http://codeforces.com/contest/28/problem/C","CF28-D12-C")</f>
        <v>CF28-D12-C</v>
      </c>
      <c r="C316" s="67"/>
      <c r="D316" s="67"/>
      <c r="E316" s="67"/>
      <c r="F316" s="67"/>
      <c r="G316" s="67"/>
      <c r="H316" s="67"/>
      <c r="I316" s="36">
        <f t="shared" si="1"/>
        <v>0</v>
      </c>
      <c r="J316" s="36"/>
      <c r="K316" s="36"/>
      <c r="L316" s="302"/>
      <c r="M316" s="286"/>
      <c r="N316" s="286" t="s">
        <v>1378</v>
      </c>
      <c r="O316" s="286">
        <v>29</v>
      </c>
      <c r="P316" s="286">
        <v>5</v>
      </c>
      <c r="Q316" s="12" t="s">
        <v>1245</v>
      </c>
    </row>
    <row r="317" spans="1:17" ht="12.5">
      <c r="A317" s="60" t="s">
        <v>1128</v>
      </c>
      <c r="B317" s="287" t="str">
        <f>HYPERLINK("http://poj.org/problem?id=2151","PKU 2151")</f>
        <v>PKU 2151</v>
      </c>
      <c r="C317" s="67"/>
      <c r="D317" s="67"/>
      <c r="E317" s="67"/>
      <c r="F317" s="67"/>
      <c r="G317" s="67"/>
      <c r="H317" s="67"/>
      <c r="I317" s="36">
        <f t="shared" si="1"/>
        <v>0</v>
      </c>
      <c r="J317" s="67"/>
      <c r="K317" s="67"/>
      <c r="L317" s="302"/>
      <c r="M317" s="216" t="str">
        <f>HYPERLINK("https://github.com/mostafa-saad/MyCompetitiveProgramming/blob/master/PKU/PKU_2151.txt","Sol")</f>
        <v>Sol</v>
      </c>
      <c r="N317" s="286" t="s">
        <v>1375</v>
      </c>
      <c r="O317" s="286">
        <v>29</v>
      </c>
      <c r="P317" s="286">
        <v>5</v>
      </c>
      <c r="Q317" s="12" t="s">
        <v>1245</v>
      </c>
    </row>
    <row r="318" spans="1:17" ht="12.5">
      <c r="A318" s="60"/>
      <c r="B318" s="287" t="str">
        <f>HYPERLINK("http://codeforces.com/contest/16/problem/E","CF16-D2-E")</f>
        <v>CF16-D2-E</v>
      </c>
      <c r="C318" s="67"/>
      <c r="D318" s="67"/>
      <c r="E318" s="67"/>
      <c r="F318" s="67"/>
      <c r="G318" s="67"/>
      <c r="H318" s="67"/>
      <c r="I318" s="36">
        <f t="shared" si="1"/>
        <v>0</v>
      </c>
      <c r="J318" s="67"/>
      <c r="K318" s="67"/>
      <c r="L318" s="67"/>
      <c r="M318" s="28"/>
      <c r="N318" s="286" t="s">
        <v>1379</v>
      </c>
      <c r="O318" s="286">
        <v>29</v>
      </c>
      <c r="P318" s="286">
        <v>5</v>
      </c>
      <c r="Q318" s="12" t="s">
        <v>1245</v>
      </c>
    </row>
    <row r="319" spans="1:17" ht="12.5">
      <c r="A319" s="60" t="s">
        <v>683</v>
      </c>
      <c r="B319" s="287" t="str">
        <f>HYPERLINK("https://uva.onlinejudge.org/index.php?option=com_onlinejudge&amp;Itemid=8&amp;page=show_problem&amp;problem=1159","UVA 10218")</f>
        <v>UVA 10218</v>
      </c>
      <c r="C319" s="67"/>
      <c r="D319" s="67"/>
      <c r="E319" s="67"/>
      <c r="F319" s="67"/>
      <c r="G319" s="67"/>
      <c r="H319" s="67"/>
      <c r="I319" s="36">
        <f t="shared" si="1"/>
        <v>0</v>
      </c>
      <c r="J319" s="36"/>
      <c r="K319" s="36"/>
      <c r="L319" s="67"/>
      <c r="M319" s="307" t="str">
        <f>HYPERLINK("https://github.com/mostafa-saad/MyCompetitiveProgramming/blob/master/UVA/UVA_10218.txt","Sol")</f>
        <v>Sol</v>
      </c>
      <c r="N319" s="286" t="s">
        <v>1380</v>
      </c>
      <c r="O319" s="286">
        <v>29</v>
      </c>
      <c r="P319" s="286">
        <v>5</v>
      </c>
      <c r="Q319" s="12" t="s">
        <v>1239</v>
      </c>
    </row>
    <row r="320" spans="1:17" ht="12.5">
      <c r="A320" s="60" t="s">
        <v>944</v>
      </c>
      <c r="B320" s="287" t="str">
        <f>HYPERLINK("https://uva.onlinejudge.org/index.php?option=com_onlinejudge&amp;Itemid=8&amp;page=show_problem&amp;problem=1962","UVA 11021")</f>
        <v>UVA 11021</v>
      </c>
      <c r="C320" s="67"/>
      <c r="D320" s="67"/>
      <c r="E320" s="67"/>
      <c r="F320" s="67"/>
      <c r="G320" s="67"/>
      <c r="H320" s="67"/>
      <c r="I320" s="36">
        <f t="shared" si="1"/>
        <v>0</v>
      </c>
      <c r="J320" s="67"/>
      <c r="K320" s="67"/>
      <c r="L320" s="67"/>
      <c r="M320" s="216" t="str">
        <f>HYPERLINK("https://github.com/VAMPIER000001/CompetitiveProgramming/blob/master/UVA/V-110/UVA%2011021.cpp","Sol")</f>
        <v>Sol</v>
      </c>
      <c r="N320" s="286" t="s">
        <v>1381</v>
      </c>
      <c r="O320" s="286">
        <v>29</v>
      </c>
      <c r="P320" s="286">
        <v>5.5</v>
      </c>
      <c r="Q320" s="12" t="s">
        <v>1245</v>
      </c>
    </row>
    <row r="321" spans="1:17" ht="12.5">
      <c r="A321" s="60" t="s">
        <v>942</v>
      </c>
      <c r="B321" s="287" t="str">
        <f>HYPERLINK("http://poj.org/problem?id=2096","PKU 2096")</f>
        <v>PKU 2096</v>
      </c>
      <c r="C321" s="67"/>
      <c r="D321" s="67"/>
      <c r="E321" s="67"/>
      <c r="F321" s="67"/>
      <c r="G321" s="67"/>
      <c r="H321" s="67"/>
      <c r="I321" s="36">
        <f t="shared" si="1"/>
        <v>0</v>
      </c>
      <c r="J321" s="67"/>
      <c r="K321" s="67"/>
      <c r="L321" s="302"/>
      <c r="M321" s="216" t="str">
        <f>HYPERLINK("https://github.com/MichaelMounir12/CompetitiveProgramming/blob/478ef4641bab747e4fd63fffdff7d55287242921/PKU/PKU_2096.cpp","Sol")</f>
        <v>Sol</v>
      </c>
      <c r="N321" s="286" t="s">
        <v>1382</v>
      </c>
      <c r="O321" s="286">
        <v>29</v>
      </c>
      <c r="P321" s="286">
        <v>5.5</v>
      </c>
      <c r="Q321" s="12" t="s">
        <v>1243</v>
      </c>
    </row>
    <row r="322" spans="1:17" ht="12.5">
      <c r="A322" s="60" t="s">
        <v>1133</v>
      </c>
      <c r="B322" s="287" t="str">
        <f>HYPERLINK("https://uva.onlinejudge.org/index.php?option=com_onlinejudge&amp;Itemid=8&amp;page=show_problem&amp;problem=2117","UVA 11176")</f>
        <v>UVA 11176</v>
      </c>
      <c r="C322" s="67"/>
      <c r="D322" s="67"/>
      <c r="E322" s="67"/>
      <c r="F322" s="67"/>
      <c r="G322" s="67"/>
      <c r="H322" s="67"/>
      <c r="I322" s="36">
        <f t="shared" si="1"/>
        <v>0</v>
      </c>
      <c r="J322" s="67"/>
      <c r="K322" s="67"/>
      <c r="L322" s="302"/>
      <c r="M322" s="216" t="str">
        <f>HYPERLINK("https://github.com/VAMPIER000001/CompetitiveProgramming/blob/master/UVA/V-111/UVA%2011176.cpp","Sol")</f>
        <v>Sol</v>
      </c>
      <c r="N322" s="286" t="s">
        <v>1375</v>
      </c>
      <c r="O322" s="286">
        <v>29</v>
      </c>
      <c r="P322" s="286">
        <v>6</v>
      </c>
    </row>
    <row r="323" spans="1:17" ht="12.5">
      <c r="A323" s="60" t="s">
        <v>641</v>
      </c>
      <c r="B323" s="287" t="str">
        <f>HYPERLINK("https://uva.onlinejudge.org/index.php?option=com_onlinejudge&amp;Itemid=8&amp;page=show_problem&amp;problem=2853","UVA 11753")</f>
        <v>UVA 11753</v>
      </c>
      <c r="C323" s="67"/>
      <c r="D323" s="67"/>
      <c r="E323" s="67"/>
      <c r="F323" s="67"/>
      <c r="G323" s="67"/>
      <c r="H323" s="67"/>
      <c r="I323" s="36">
        <f t="shared" si="1"/>
        <v>0</v>
      </c>
      <c r="J323" s="36"/>
      <c r="K323" s="36"/>
      <c r="L323" s="67"/>
      <c r="M323" s="116" t="str">
        <f>HYPERLINK("https://www.youtube.com/watch?v=1fP2Rl0-rWk","Video Solution - Eng Aya Elymany")</f>
        <v>Video Solution - Eng Aya Elymany</v>
      </c>
      <c r="N323" s="286" t="s">
        <v>1383</v>
      </c>
      <c r="O323" s="286">
        <v>32</v>
      </c>
      <c r="P323" s="286">
        <v>4.5</v>
      </c>
      <c r="Q323" s="12" t="s">
        <v>1245</v>
      </c>
    </row>
    <row r="324" spans="1:17" ht="12.5">
      <c r="A324" s="60"/>
      <c r="B324" s="287" t="str">
        <f>HYPERLINK("http://codeforces.com/gym/101294/problem/I","CF101294-GYM-I")</f>
        <v>CF101294-GYM-I</v>
      </c>
      <c r="C324" s="67"/>
      <c r="D324" s="67"/>
      <c r="E324" s="67"/>
      <c r="F324" s="67"/>
      <c r="G324" s="67"/>
      <c r="H324" s="67"/>
      <c r="I324" s="36">
        <f t="shared" si="1"/>
        <v>0</v>
      </c>
      <c r="J324" s="67"/>
      <c r="K324" s="67"/>
      <c r="L324" s="67"/>
      <c r="M324" s="216" t="str">
        <f>HYPERLINK("https://github.com/SpeedOfMagic/CompetitiveProgramming/blob/master/CodeforcesGym/CF101294-GYM-I.cpp","Sol")</f>
        <v>Sol</v>
      </c>
      <c r="N324" s="286" t="s">
        <v>1384</v>
      </c>
      <c r="O324" s="286">
        <v>32</v>
      </c>
      <c r="P324" s="286">
        <v>4.5</v>
      </c>
      <c r="Q324" s="12" t="s">
        <v>1239</v>
      </c>
    </row>
    <row r="325" spans="1:17" ht="12.5">
      <c r="A325" s="60"/>
      <c r="B325" s="60" t="s">
        <v>909</v>
      </c>
      <c r="C325" s="67"/>
      <c r="D325" s="67"/>
      <c r="E325" s="67"/>
      <c r="F325" s="67"/>
      <c r="G325" s="67"/>
      <c r="H325" s="67"/>
      <c r="I325" s="36">
        <f t="shared" si="1"/>
        <v>0</v>
      </c>
      <c r="J325" s="36"/>
      <c r="K325" s="36"/>
      <c r="L325" s="67"/>
      <c r="M325" s="60"/>
      <c r="N325" s="286" t="s">
        <v>1385</v>
      </c>
      <c r="O325" s="286">
        <v>32</v>
      </c>
      <c r="P325" s="286">
        <v>5</v>
      </c>
      <c r="Q325" s="12" t="s">
        <v>1243</v>
      </c>
    </row>
    <row r="326" spans="1:17" ht="13">
      <c r="A326" s="60"/>
      <c r="B326" s="60" t="s">
        <v>630</v>
      </c>
      <c r="C326" s="67"/>
      <c r="D326" s="67"/>
      <c r="E326" s="67"/>
      <c r="F326" s="67"/>
      <c r="G326" s="67"/>
      <c r="H326" s="67"/>
      <c r="I326" s="36">
        <f t="shared" si="1"/>
        <v>0</v>
      </c>
      <c r="J326" s="36"/>
      <c r="K326" s="36"/>
      <c r="L326" s="67"/>
      <c r="M326" s="110"/>
      <c r="N326" s="286" t="s">
        <v>1386</v>
      </c>
      <c r="O326" s="286">
        <v>32</v>
      </c>
      <c r="P326" s="286">
        <v>5</v>
      </c>
      <c r="Q326" s="12" t="s">
        <v>1239</v>
      </c>
    </row>
    <row r="327" spans="1:17" ht="13">
      <c r="A327" s="287" t="str">
        <f>HYPERLINK("https://community.topcoder.com/stat?c=problem_statement&amp;pm=1331&amp;rd=4550","MessageMess")</f>
        <v>MessageMess</v>
      </c>
      <c r="B327" s="60" t="s">
        <v>629</v>
      </c>
      <c r="C327" s="67"/>
      <c r="D327" s="67"/>
      <c r="E327" s="67"/>
      <c r="F327" s="67"/>
      <c r="G327" s="67"/>
      <c r="H327" s="67"/>
      <c r="I327" s="36">
        <f t="shared" si="1"/>
        <v>0</v>
      </c>
      <c r="J327" s="36"/>
      <c r="K327" s="36"/>
      <c r="L327" s="67"/>
      <c r="M327" s="110"/>
      <c r="N327" s="286" t="s">
        <v>1387</v>
      </c>
      <c r="O327" s="286">
        <v>32</v>
      </c>
      <c r="P327" s="286">
        <v>5</v>
      </c>
    </row>
    <row r="328" spans="1:17" ht="12.5">
      <c r="A328" s="60"/>
      <c r="B328" s="60" t="s">
        <v>1075</v>
      </c>
      <c r="C328" s="67"/>
      <c r="D328" s="67"/>
      <c r="E328" s="67"/>
      <c r="F328" s="67"/>
      <c r="G328" s="67"/>
      <c r="H328" s="67"/>
      <c r="I328" s="36">
        <f t="shared" si="1"/>
        <v>0</v>
      </c>
      <c r="J328" s="67"/>
      <c r="K328" s="67"/>
      <c r="L328" s="67"/>
      <c r="M328" s="286"/>
      <c r="N328" s="286" t="s">
        <v>1386</v>
      </c>
      <c r="O328" s="286">
        <v>32</v>
      </c>
      <c r="P328" s="286">
        <v>5</v>
      </c>
    </row>
    <row r="329" spans="1:17" ht="12.5">
      <c r="A329" s="60"/>
      <c r="B329" s="60" t="s">
        <v>1102</v>
      </c>
      <c r="C329" s="67"/>
      <c r="D329" s="67"/>
      <c r="E329" s="67"/>
      <c r="F329" s="67"/>
      <c r="G329" s="67"/>
      <c r="H329" s="67"/>
      <c r="I329" s="36">
        <f t="shared" si="1"/>
        <v>0</v>
      </c>
      <c r="J329" s="67"/>
      <c r="K329" s="67"/>
      <c r="L329" s="67"/>
      <c r="M329" s="286"/>
      <c r="N329" s="286" t="s">
        <v>1388</v>
      </c>
      <c r="O329" s="286">
        <v>32</v>
      </c>
      <c r="P329" s="286">
        <v>5.5</v>
      </c>
      <c r="Q329" s="12" t="s">
        <v>1243</v>
      </c>
    </row>
    <row r="330" spans="1:17" ht="12.5">
      <c r="A330" s="60" t="s">
        <v>643</v>
      </c>
      <c r="B330" s="287" t="str">
        <f>HYPERLINK("https://uva.onlinejudge.org/index.php?option=com_onlinejudge&amp;Itemid=8&amp;page=show_problem&amp;problem=4108","UVA 1362")</f>
        <v>UVA 1362</v>
      </c>
      <c r="C330" s="67"/>
      <c r="D330" s="67"/>
      <c r="E330" s="67"/>
      <c r="F330" s="67"/>
      <c r="G330" s="67"/>
      <c r="H330" s="67"/>
      <c r="I330" s="36">
        <f t="shared" si="1"/>
        <v>0</v>
      </c>
      <c r="J330" s="36"/>
      <c r="K330" s="36"/>
      <c r="L330" s="67"/>
      <c r="M330" s="116" t="str">
        <f>HYPERLINK("https://www.youtube.com/watch?v=NTxsccxXCW0","Video Solution - Eng Ayman Salah")</f>
        <v>Video Solution - Eng Ayman Salah</v>
      </c>
      <c r="N330" s="286" t="s">
        <v>1384</v>
      </c>
      <c r="O330" s="286">
        <v>32</v>
      </c>
      <c r="P330" s="286">
        <v>5.5</v>
      </c>
    </row>
    <row r="331" spans="1:17" ht="12.5">
      <c r="A331" s="60" t="s">
        <v>1052</v>
      </c>
      <c r="B331" s="287" t="str">
        <f>HYPERLINK("https://uva.onlinejudge.org/index.php?option=com_onlinejudge&amp;Itemid=8&amp;page=show_problem&amp;problem=4501","UVA 1626")</f>
        <v>UVA 1626</v>
      </c>
      <c r="C331" s="67"/>
      <c r="D331" s="67"/>
      <c r="E331" s="67"/>
      <c r="F331" s="67"/>
      <c r="G331" s="67"/>
      <c r="H331" s="67"/>
      <c r="I331" s="36">
        <f t="shared" si="1"/>
        <v>0</v>
      </c>
      <c r="J331" s="36"/>
      <c r="K331" s="36"/>
      <c r="L331" s="302"/>
      <c r="M331" s="301" t="str">
        <f>HYPERLINK("https://github.com/abdullaAshraf/Problem-Solving/blob/master/UVA/1626.cpp","Sol")</f>
        <v>Sol</v>
      </c>
      <c r="N331" s="286" t="s">
        <v>1384</v>
      </c>
      <c r="O331" s="286">
        <v>32</v>
      </c>
      <c r="P331" s="286">
        <v>5.5</v>
      </c>
    </row>
    <row r="332" spans="1:17" ht="12.5">
      <c r="A332" s="60"/>
      <c r="B332" s="60" t="s">
        <v>1221</v>
      </c>
      <c r="C332" s="67"/>
      <c r="D332" s="67"/>
      <c r="E332" s="67"/>
      <c r="F332" s="67"/>
      <c r="G332" s="67"/>
      <c r="H332" s="67"/>
      <c r="I332" s="36">
        <f t="shared" si="1"/>
        <v>0</v>
      </c>
      <c r="J332" s="67"/>
      <c r="K332" s="67"/>
      <c r="L332" s="67"/>
      <c r="M332" s="28"/>
      <c r="N332" s="286" t="s">
        <v>1389</v>
      </c>
      <c r="O332" s="286">
        <v>32</v>
      </c>
      <c r="P332" s="286">
        <v>6</v>
      </c>
      <c r="Q332" s="12" t="s">
        <v>1270</v>
      </c>
    </row>
    <row r="333" spans="1:17" ht="12.5">
      <c r="A333" s="60"/>
      <c r="B333" s="287" t="str">
        <f>HYPERLINK("https://uva.onlinejudge.org/index.php?option=onlinejudge&amp;page=show_problem&amp;problem=448","UVA 507")</f>
        <v>UVA 507</v>
      </c>
      <c r="C333" s="67"/>
      <c r="D333" s="67"/>
      <c r="E333" s="67"/>
      <c r="F333" s="67"/>
      <c r="G333" s="67"/>
      <c r="H333" s="67"/>
      <c r="I333" s="36">
        <f t="shared" si="1"/>
        <v>0</v>
      </c>
      <c r="J333" s="67"/>
      <c r="K333" s="67"/>
      <c r="L333" s="67"/>
      <c r="M333" s="28"/>
      <c r="N333" s="286" t="s">
        <v>1390</v>
      </c>
      <c r="O333" s="286">
        <v>36</v>
      </c>
      <c r="P333" s="286">
        <v>3</v>
      </c>
    </row>
    <row r="334" spans="1:17" ht="12.5">
      <c r="A334" s="60"/>
      <c r="B334" s="287" t="str">
        <f>HYPERLINK("https://uva.onlinejudge.org/index.php?option=com_onlinejudge&amp;Itemid=8&amp;page=show_problem&amp;problem=1608","UVA 10667")</f>
        <v>UVA 10667</v>
      </c>
      <c r="C334" s="67"/>
      <c r="D334" s="67"/>
      <c r="E334" s="67"/>
      <c r="F334" s="67"/>
      <c r="G334" s="67"/>
      <c r="H334" s="67"/>
      <c r="I334" s="36">
        <f t="shared" si="1"/>
        <v>0</v>
      </c>
      <c r="J334" s="67"/>
      <c r="K334" s="67"/>
      <c r="L334" s="67"/>
      <c r="M334" s="28"/>
      <c r="N334" s="286" t="s">
        <v>1391</v>
      </c>
      <c r="O334" s="286">
        <v>36</v>
      </c>
      <c r="P334" s="286">
        <v>3</v>
      </c>
    </row>
    <row r="335" spans="1:17" ht="12.5">
      <c r="A335" s="60" t="s">
        <v>1023</v>
      </c>
      <c r="B335" s="287" t="str">
        <f>HYPERLINK("http://codeforces.com/contest/75/problem/D","CF75-D2-D")</f>
        <v>CF75-D2-D</v>
      </c>
      <c r="C335" s="67"/>
      <c r="D335" s="67"/>
      <c r="E335" s="67"/>
      <c r="F335" s="67"/>
      <c r="G335" s="67"/>
      <c r="H335" s="67"/>
      <c r="I335" s="36">
        <f t="shared" si="1"/>
        <v>0</v>
      </c>
      <c r="J335" s="36"/>
      <c r="K335" s="36"/>
      <c r="L335" s="67"/>
      <c r="M335" s="191"/>
      <c r="N335" s="286" t="s">
        <v>1392</v>
      </c>
      <c r="O335" s="286">
        <v>36</v>
      </c>
      <c r="P335" s="286">
        <v>5</v>
      </c>
      <c r="Q335" s="12" t="s">
        <v>1243</v>
      </c>
    </row>
    <row r="336" spans="1:17" ht="12.5">
      <c r="A336" s="60"/>
      <c r="B336" s="60" t="s">
        <v>1140</v>
      </c>
      <c r="C336" s="67"/>
      <c r="D336" s="67"/>
      <c r="E336" s="67"/>
      <c r="F336" s="67"/>
      <c r="G336" s="67"/>
      <c r="H336" s="67"/>
      <c r="I336" s="36">
        <f t="shared" si="1"/>
        <v>0</v>
      </c>
      <c r="J336" s="36"/>
      <c r="K336" s="36"/>
      <c r="L336" s="302"/>
      <c r="M336" s="300" t="str">
        <f>HYPERLINK("https://github.com/mostafa-saad/MyCompetitiveProgramming/blob/master/SPOJ/SPOJ_FISHES.txt","Sol")</f>
        <v>Sol</v>
      </c>
      <c r="N336" s="286" t="s">
        <v>1393</v>
      </c>
      <c r="O336" s="286">
        <v>36</v>
      </c>
      <c r="P336" s="286">
        <v>5.5</v>
      </c>
      <c r="Q336" s="12" t="s">
        <v>1245</v>
      </c>
    </row>
    <row r="337" spans="1:17" ht="12.5">
      <c r="A337" s="60" t="s">
        <v>938</v>
      </c>
      <c r="B337" s="287" t="str">
        <f>HYPERLINK("http://codeforces.com/contest/667/problem/C","CF667-D2-C")</f>
        <v>CF667-D2-C</v>
      </c>
      <c r="C337" s="67"/>
      <c r="D337" s="67"/>
      <c r="E337" s="67"/>
      <c r="F337" s="67"/>
      <c r="G337" s="67"/>
      <c r="H337" s="67"/>
      <c r="I337" s="36">
        <f t="shared" si="1"/>
        <v>0</v>
      </c>
      <c r="J337" s="67"/>
      <c r="K337" s="67"/>
      <c r="L337" s="67"/>
      <c r="M337" s="28"/>
      <c r="N337" s="286" t="s">
        <v>1394</v>
      </c>
      <c r="O337" s="286">
        <v>37</v>
      </c>
      <c r="P337" s="286">
        <v>4.5</v>
      </c>
      <c r="Q337" s="12" t="s">
        <v>1245</v>
      </c>
    </row>
    <row r="338" spans="1:17" ht="12.5">
      <c r="A338" s="60" t="s">
        <v>1142</v>
      </c>
      <c r="B338" s="287" t="str">
        <f>HYPERLINK("http://codeforces.com/contest/478/problem/D","CF478-D2-D")</f>
        <v>CF478-D2-D</v>
      </c>
      <c r="C338" s="67"/>
      <c r="D338" s="67"/>
      <c r="E338" s="67"/>
      <c r="F338" s="67"/>
      <c r="G338" s="67"/>
      <c r="H338" s="67"/>
      <c r="I338" s="36">
        <f t="shared" si="1"/>
        <v>0</v>
      </c>
      <c r="J338" s="36"/>
      <c r="K338" s="36"/>
      <c r="L338" s="302"/>
      <c r="M338" s="28"/>
      <c r="N338" s="286" t="s">
        <v>1395</v>
      </c>
      <c r="O338" s="286">
        <v>37</v>
      </c>
      <c r="P338" s="286">
        <v>5</v>
      </c>
      <c r="Q338" s="12" t="s">
        <v>1245</v>
      </c>
    </row>
    <row r="339" spans="1:17" ht="12.5">
      <c r="A339" s="60" t="s">
        <v>1109</v>
      </c>
      <c r="B339" s="287" t="str">
        <f>HYPERLINK("http://codeforces.com/contest/418/problem/B","CF418-D1-B")</f>
        <v>CF418-D1-B</v>
      </c>
      <c r="C339" s="67"/>
      <c r="D339" s="67"/>
      <c r="E339" s="67"/>
      <c r="F339" s="67"/>
      <c r="G339" s="67"/>
      <c r="H339" s="67"/>
      <c r="I339" s="36">
        <f t="shared" si="1"/>
        <v>0</v>
      </c>
      <c r="J339" s="36"/>
      <c r="K339" s="36"/>
      <c r="L339" s="67"/>
      <c r="M339" s="191"/>
      <c r="N339" s="286" t="s">
        <v>1396</v>
      </c>
      <c r="O339" s="286">
        <v>37</v>
      </c>
      <c r="P339" s="286">
        <v>5.5</v>
      </c>
      <c r="Q339" s="12" t="s">
        <v>1270</v>
      </c>
    </row>
    <row r="340" spans="1:17" ht="12.5">
      <c r="A340" s="60"/>
      <c r="B340" s="60" t="s">
        <v>1148</v>
      </c>
      <c r="C340" s="67"/>
      <c r="D340" s="67"/>
      <c r="E340" s="67"/>
      <c r="F340" s="67"/>
      <c r="G340" s="67"/>
      <c r="H340" s="67"/>
      <c r="I340" s="36">
        <f t="shared" si="1"/>
        <v>0</v>
      </c>
      <c r="J340" s="36"/>
      <c r="K340" s="36"/>
      <c r="L340" s="302"/>
      <c r="M340" s="300" t="str">
        <f>HYPERLINK("https://github.com/magdy-hasan/competitive-programming/blob/master/Other/ZOJ%20Get%20Sauce.cpp","Sol")</f>
        <v>Sol</v>
      </c>
      <c r="N340" s="286" t="s">
        <v>1397</v>
      </c>
      <c r="O340" s="286">
        <v>37</v>
      </c>
      <c r="P340" s="286">
        <v>5.5</v>
      </c>
      <c r="Q340" s="12" t="s">
        <v>1270</v>
      </c>
    </row>
    <row r="341" spans="1:17" ht="12.5">
      <c r="A341" s="60" t="s">
        <v>934</v>
      </c>
      <c r="B341" s="287" t="str">
        <f>HYPERLINK("http://codeforces.com/contest/814/problem/D","CF814-D2-D")</f>
        <v>CF814-D2-D</v>
      </c>
      <c r="C341" s="67"/>
      <c r="D341" s="67"/>
      <c r="E341" s="67"/>
      <c r="F341" s="67"/>
      <c r="G341" s="67"/>
      <c r="H341" s="67"/>
      <c r="I341" s="36">
        <f t="shared" si="1"/>
        <v>0</v>
      </c>
      <c r="J341" s="36"/>
      <c r="K341" s="36"/>
      <c r="L341" s="67"/>
      <c r="M341" s="290" t="str">
        <f>HYPERLINK("https://www.youtube.com/watch?v=UWtHck3a4SA","Video Solution - Solver to be (Java)")</f>
        <v>Video Solution - Solver to be (Java)</v>
      </c>
      <c r="N341" s="286" t="s">
        <v>1398</v>
      </c>
      <c r="O341" s="286">
        <v>38</v>
      </c>
      <c r="P341" s="286">
        <v>5</v>
      </c>
      <c r="Q341" s="12" t="s">
        <v>1245</v>
      </c>
    </row>
    <row r="342" spans="1:17" ht="13">
      <c r="A342" s="60"/>
      <c r="B342" s="287" t="str">
        <f>HYPERLINK("http://codeforces.com/contest/161/problem/D","CF161-D12-D")</f>
        <v>CF161-D12-D</v>
      </c>
      <c r="C342" s="67"/>
      <c r="D342" s="67"/>
      <c r="E342" s="67"/>
      <c r="F342" s="67"/>
      <c r="G342" s="67"/>
      <c r="H342" s="67"/>
      <c r="I342" s="36">
        <f t="shared" si="1"/>
        <v>0</v>
      </c>
      <c r="J342" s="36"/>
      <c r="K342" s="36"/>
      <c r="L342" s="67"/>
      <c r="M342" s="308" t="str">
        <f>HYPERLINK("https://codeforces.com/blog/entry/20935","Reading: DP on Trees")</f>
        <v>Reading: DP on Trees</v>
      </c>
      <c r="N342" s="286" t="s">
        <v>1399</v>
      </c>
      <c r="O342" s="286">
        <v>38</v>
      </c>
      <c r="P342" s="286">
        <v>5</v>
      </c>
      <c r="Q342" s="12" t="s">
        <v>1243</v>
      </c>
    </row>
    <row r="343" spans="1:17" ht="12.5">
      <c r="A343" s="60" t="s">
        <v>996</v>
      </c>
      <c r="B343" s="287" t="str">
        <f>HYPERLINK("http://www.spoj.com/problems/PT07X/","SPOJ PT07X")</f>
        <v>SPOJ PT07X</v>
      </c>
      <c r="C343" s="67"/>
      <c r="D343" s="67"/>
      <c r="E343" s="67"/>
      <c r="F343" s="67"/>
      <c r="G343" s="67"/>
      <c r="H343" s="67"/>
      <c r="I343" s="36">
        <f t="shared" si="1"/>
        <v>0</v>
      </c>
      <c r="J343" s="36"/>
      <c r="K343" s="36"/>
      <c r="L343" s="67"/>
      <c r="M343" s="301" t="str">
        <f>HYPERLINK("https://github.com/abdullaAshraf/Problem-Solving/blob/master/SPOJ/PT07X.cpp","Sol")</f>
        <v>Sol</v>
      </c>
      <c r="N343" s="286" t="s">
        <v>1400</v>
      </c>
      <c r="O343" s="286">
        <v>38</v>
      </c>
      <c r="P343" s="286">
        <v>5</v>
      </c>
    </row>
    <row r="344" spans="1:17" ht="12.5">
      <c r="A344" s="60"/>
      <c r="B344" s="287" t="str">
        <f>HYPERLINK("http://codeforces.com/contest/337/problem/D","CF337-D2-D")</f>
        <v>CF337-D2-D</v>
      </c>
      <c r="C344" s="67"/>
      <c r="D344" s="67"/>
      <c r="E344" s="67"/>
      <c r="F344" s="67"/>
      <c r="G344" s="67"/>
      <c r="H344" s="67"/>
      <c r="I344" s="36">
        <f t="shared" si="1"/>
        <v>0</v>
      </c>
      <c r="J344" s="67"/>
      <c r="K344" s="67"/>
      <c r="L344" s="302"/>
      <c r="M344" s="301" t="str">
        <f>HYPERLINK("http://codeforces.com/contest/337/submission/38413425","Sol")</f>
        <v>Sol</v>
      </c>
      <c r="N344" s="286" t="s">
        <v>1401</v>
      </c>
      <c r="O344" s="286">
        <v>38</v>
      </c>
      <c r="P344" s="286">
        <v>5.5</v>
      </c>
      <c r="Q344" s="12" t="s">
        <v>1270</v>
      </c>
    </row>
    <row r="345" spans="1:17" ht="12.5">
      <c r="A345" s="60" t="s">
        <v>970</v>
      </c>
      <c r="B345" s="287" t="str">
        <f>HYPERLINK("http://codeforces.com/contest/743/problem/D","CF743-D2-D")</f>
        <v>CF743-D2-D</v>
      </c>
      <c r="C345" s="67"/>
      <c r="D345" s="67"/>
      <c r="E345" s="67"/>
      <c r="F345" s="67"/>
      <c r="G345" s="67"/>
      <c r="H345" s="67"/>
      <c r="I345" s="36">
        <f t="shared" si="1"/>
        <v>0</v>
      </c>
      <c r="J345" s="67"/>
      <c r="K345" s="67"/>
      <c r="L345" s="67"/>
      <c r="M345" s="28"/>
      <c r="N345" s="286" t="s">
        <v>1400</v>
      </c>
      <c r="O345" s="286">
        <v>38</v>
      </c>
      <c r="P345" s="286">
        <v>5.5</v>
      </c>
      <c r="Q345" s="12" t="s">
        <v>1243</v>
      </c>
    </row>
    <row r="346" spans="1:17" ht="12.5">
      <c r="A346" s="60"/>
      <c r="B346" s="60" t="s">
        <v>1166</v>
      </c>
      <c r="C346" s="67"/>
      <c r="D346" s="67"/>
      <c r="E346" s="67"/>
      <c r="F346" s="67"/>
      <c r="G346" s="67"/>
      <c r="H346" s="67"/>
      <c r="I346" s="36">
        <f t="shared" si="1"/>
        <v>0</v>
      </c>
      <c r="J346" s="36"/>
      <c r="K346" s="36"/>
      <c r="L346" s="302"/>
      <c r="M346" s="216" t="str">
        <f>HYPERLINK("https://github.com/MeGaCrazy/CompetitiveProgramming/blob/2a3c686ba85081a14c9df160224fc1659f7f93ab/Timus/TIMUS_1362.cpp","Sol")</f>
        <v>Sol</v>
      </c>
      <c r="N346" s="286" t="s">
        <v>1402</v>
      </c>
      <c r="O346" s="286">
        <v>38</v>
      </c>
      <c r="P346" s="286">
        <v>5.5</v>
      </c>
      <c r="Q346" s="12" t="s">
        <v>1243</v>
      </c>
    </row>
    <row r="347" spans="1:17" ht="12.5">
      <c r="A347" s="60"/>
      <c r="B347" s="60" t="s">
        <v>1196</v>
      </c>
      <c r="C347" s="67"/>
      <c r="D347" s="67"/>
      <c r="E347" s="67"/>
      <c r="F347" s="67"/>
      <c r="G347" s="67"/>
      <c r="H347" s="67"/>
      <c r="I347" s="36">
        <f t="shared" si="1"/>
        <v>0</v>
      </c>
      <c r="J347" s="67"/>
      <c r="K347" s="67"/>
      <c r="L347" s="67"/>
      <c r="M347" s="216" t="str">
        <f>HYPERLINK("https://github.com/mostafa-saad/MyCompetitiveProgramming/blob/master/UVA/UVA_1218.txt","Sol")</f>
        <v>Sol</v>
      </c>
      <c r="N347" s="286" t="s">
        <v>1403</v>
      </c>
      <c r="O347" s="286">
        <v>38</v>
      </c>
      <c r="P347" s="286">
        <v>5.75</v>
      </c>
      <c r="Q347" s="12" t="s">
        <v>1243</v>
      </c>
    </row>
    <row r="348" spans="1:17" ht="12.5">
      <c r="A348" s="60" t="s">
        <v>639</v>
      </c>
      <c r="B348" s="287" t="str">
        <f>HYPERLINK("http://codeforces.com/contest/257/problem/B","CF257-D2-B")</f>
        <v>CF257-D2-B</v>
      </c>
      <c r="C348" s="67"/>
      <c r="D348" s="67"/>
      <c r="E348" s="67"/>
      <c r="F348" s="67"/>
      <c r="G348" s="67"/>
      <c r="H348" s="67"/>
      <c r="I348" s="36">
        <f t="shared" si="1"/>
        <v>0</v>
      </c>
      <c r="J348" s="36"/>
      <c r="K348" s="36"/>
      <c r="L348" s="67"/>
      <c r="M348" s="28"/>
      <c r="N348" s="286" t="s">
        <v>1404</v>
      </c>
      <c r="O348" s="286">
        <v>41</v>
      </c>
      <c r="P348" s="191">
        <v>2.5</v>
      </c>
    </row>
    <row r="349" spans="1:17" ht="12.5">
      <c r="A349" s="60" t="s">
        <v>739</v>
      </c>
      <c r="B349" s="287" t="str">
        <f>HYPERLINK("https://uva.onlinejudge.org/index.php?option=onlinejudge&amp;page=show_problem&amp;problem=1309","UVA 10368")</f>
        <v>UVA 10368</v>
      </c>
      <c r="C349" s="67"/>
      <c r="D349" s="67"/>
      <c r="E349" s="67"/>
      <c r="F349" s="67"/>
      <c r="G349" s="67"/>
      <c r="H349" s="67"/>
      <c r="I349" s="36">
        <f t="shared" si="1"/>
        <v>0</v>
      </c>
      <c r="J349" s="36"/>
      <c r="K349" s="36"/>
      <c r="L349" s="67"/>
      <c r="M349" s="116" t="str">
        <f>HYPERLINK("https://www.youtube.com/watch?v=86oGEiHeDO0","Video Solution - Eng Moaz Rashad")</f>
        <v>Video Solution - Eng Moaz Rashad</v>
      </c>
      <c r="N349" s="286" t="s">
        <v>1405</v>
      </c>
      <c r="O349" s="286">
        <v>41</v>
      </c>
      <c r="P349" s="286">
        <v>3.5</v>
      </c>
      <c r="Q349" s="12" t="s">
        <v>1243</v>
      </c>
    </row>
    <row r="350" spans="1:17" ht="12.5">
      <c r="A350" s="60"/>
      <c r="B350" s="99" t="str">
        <f>HYPERLINK("https://codeforces.com/contest/1220/problem/C","CF1220-D12-C")</f>
        <v>CF1220-D12-C</v>
      </c>
      <c r="C350" s="67"/>
      <c r="D350" s="67"/>
      <c r="E350" s="67"/>
      <c r="F350" s="67"/>
      <c r="G350" s="67"/>
      <c r="H350" s="67"/>
      <c r="I350" s="36">
        <f t="shared" si="1"/>
        <v>0</v>
      </c>
      <c r="J350" s="36"/>
      <c r="K350" s="36"/>
      <c r="L350" s="67"/>
      <c r="M350" s="28"/>
      <c r="N350" s="286" t="s">
        <v>1406</v>
      </c>
      <c r="O350" s="286">
        <v>41</v>
      </c>
      <c r="P350" s="286">
        <v>3.5</v>
      </c>
      <c r="Q350" s="12" t="s">
        <v>1243</v>
      </c>
    </row>
    <row r="351" spans="1:17" ht="12.5">
      <c r="A351" s="60" t="s">
        <v>750</v>
      </c>
      <c r="B351" s="287" t="str">
        <f>HYPERLINK("http://codeforces.com/contest/347/problem/C","CF347-D2-C")</f>
        <v>CF347-D2-C</v>
      </c>
      <c r="C351" s="67"/>
      <c r="D351" s="67"/>
      <c r="E351" s="67"/>
      <c r="F351" s="67"/>
      <c r="G351" s="67"/>
      <c r="H351" s="67"/>
      <c r="I351" s="36">
        <f t="shared" si="1"/>
        <v>0</v>
      </c>
      <c r="J351" s="36"/>
      <c r="K351" s="36"/>
      <c r="L351" s="67"/>
      <c r="M351" s="137" t="str">
        <f>HYPERLINK("https://www.youtube.com/watch?v=CfBk2dwfLaE","Video Solution - Eng Mohamed Nasser")</f>
        <v>Video Solution - Eng Mohamed Nasser</v>
      </c>
      <c r="N351" s="286" t="s">
        <v>1407</v>
      </c>
      <c r="O351" s="286">
        <v>41</v>
      </c>
      <c r="P351" s="286">
        <v>4</v>
      </c>
      <c r="Q351" s="12" t="s">
        <v>1239</v>
      </c>
    </row>
    <row r="352" spans="1:17" ht="12.5">
      <c r="A352" s="60" t="s">
        <v>738</v>
      </c>
      <c r="B352" s="287" t="str">
        <f>HYPERLINK("http://codeforces.com/contest/151/problem/C","CF151-D2-C")</f>
        <v>CF151-D2-C</v>
      </c>
      <c r="C352" s="67"/>
      <c r="D352" s="67"/>
      <c r="E352" s="67"/>
      <c r="F352" s="67"/>
      <c r="G352" s="67"/>
      <c r="H352" s="67"/>
      <c r="I352" s="36">
        <f t="shared" si="1"/>
        <v>0</v>
      </c>
      <c r="J352" s="36"/>
      <c r="K352" s="36"/>
      <c r="L352" s="67"/>
      <c r="M352" s="290" t="str">
        <f>HYPERLINK("https://www.youtube.com/watch?v=SY88_vndOgI","Video Solution - Dr Mostafa Saad")</f>
        <v>Video Solution - Dr Mostafa Saad</v>
      </c>
      <c r="N352" s="286" t="s">
        <v>1408</v>
      </c>
      <c r="O352" s="286">
        <v>41</v>
      </c>
      <c r="P352" s="286">
        <v>4</v>
      </c>
      <c r="Q352" s="12" t="s">
        <v>1239</v>
      </c>
    </row>
    <row r="353" spans="1:17" ht="12.5">
      <c r="A353" s="60" t="s">
        <v>446</v>
      </c>
      <c r="B353" s="287" t="str">
        <f>HYPERLINK("https://uva.onlinejudge.org/index.php?option=onlinejudge&amp;page=show_problem&amp;problem=1806","UVA 10865")</f>
        <v>UVA 10865</v>
      </c>
      <c r="C353" s="67"/>
      <c r="D353" s="67"/>
      <c r="E353" s="67"/>
      <c r="F353" s="67"/>
      <c r="G353" s="67"/>
      <c r="H353" s="67"/>
      <c r="I353" s="36">
        <f t="shared" si="1"/>
        <v>0</v>
      </c>
      <c r="J353" s="36"/>
      <c r="K353" s="36"/>
      <c r="L353" s="67"/>
      <c r="M353" s="137" t="str">
        <f>HYPERLINK("https://www.youtube.com/watch?v=VZ7kCc80C6o&amp;feature=youtu.be","Video Solution - Eng Magdy Hasan")</f>
        <v>Video Solution - Eng Magdy Hasan</v>
      </c>
      <c r="N353" s="286" t="s">
        <v>1409</v>
      </c>
      <c r="O353" s="286">
        <v>45</v>
      </c>
      <c r="P353" s="286">
        <v>2</v>
      </c>
      <c r="Q353" s="12" t="s">
        <v>1239</v>
      </c>
    </row>
    <row r="354" spans="1:17" ht="12.5">
      <c r="A354" s="60"/>
      <c r="B354" s="60" t="s">
        <v>775</v>
      </c>
      <c r="C354" s="67"/>
      <c r="D354" s="67"/>
      <c r="E354" s="67"/>
      <c r="F354" s="67"/>
      <c r="G354" s="67"/>
      <c r="H354" s="67"/>
      <c r="I354" s="36">
        <f t="shared" si="1"/>
        <v>0</v>
      </c>
      <c r="J354" s="36"/>
      <c r="K354" s="36"/>
      <c r="L354" s="67"/>
      <c r="M354" s="60"/>
      <c r="N354" s="286" t="s">
        <v>1410</v>
      </c>
      <c r="O354" s="286">
        <v>45</v>
      </c>
      <c r="P354" s="286">
        <v>3</v>
      </c>
      <c r="Q354" s="12" t="s">
        <v>1239</v>
      </c>
    </row>
    <row r="355" spans="1:17" ht="12.5">
      <c r="A355" s="60" t="s">
        <v>251</v>
      </c>
      <c r="B355" s="287" t="str">
        <f>HYPERLINK("https://uva.onlinejudge.org/index.php?option=onlinejudge&amp;page=show_problem&amp;problem=417","UVA 476")</f>
        <v>UVA 476</v>
      </c>
      <c r="C355" s="67"/>
      <c r="D355" s="67"/>
      <c r="E355" s="67"/>
      <c r="F355" s="67"/>
      <c r="G355" s="67"/>
      <c r="H355" s="67"/>
      <c r="I355" s="36">
        <f t="shared" si="1"/>
        <v>0</v>
      </c>
      <c r="J355" s="93"/>
      <c r="K355" s="36"/>
      <c r="L355" s="93"/>
      <c r="M355" s="65"/>
      <c r="N355" s="286" t="s">
        <v>1409</v>
      </c>
      <c r="O355" s="286">
        <v>45</v>
      </c>
      <c r="P355" s="286">
        <v>3</v>
      </c>
    </row>
    <row r="356" spans="1:17" ht="12.5">
      <c r="A356" s="60" t="s">
        <v>819</v>
      </c>
      <c r="B356" s="287" t="str">
        <f>HYPERLINK("http://codeforces.com/contest/617/problem/C","CF617-D2-C")</f>
        <v>CF617-D2-C</v>
      </c>
      <c r="C356" s="67"/>
      <c r="D356" s="67"/>
      <c r="E356" s="67"/>
      <c r="F356" s="67"/>
      <c r="G356" s="67"/>
      <c r="H356" s="67"/>
      <c r="I356" s="36">
        <f t="shared" si="1"/>
        <v>0</v>
      </c>
      <c r="J356" s="36"/>
      <c r="K356" s="36"/>
      <c r="L356" s="67"/>
      <c r="M356" s="60"/>
      <c r="N356" s="286" t="s">
        <v>1411</v>
      </c>
      <c r="O356" s="286">
        <v>45</v>
      </c>
      <c r="P356" s="286">
        <v>3</v>
      </c>
    </row>
    <row r="357" spans="1:17" ht="12.5">
      <c r="A357" s="60" t="s">
        <v>254</v>
      </c>
      <c r="B357" s="287" t="str">
        <f>HYPERLINK("http://codeforces.com/contest/667/problem/A","CF667-D2-A")</f>
        <v>CF667-D2-A</v>
      </c>
      <c r="C357" s="67"/>
      <c r="D357" s="67"/>
      <c r="E357" s="67"/>
      <c r="F357" s="67"/>
      <c r="G357" s="67"/>
      <c r="H357" s="67"/>
      <c r="I357" s="36">
        <f t="shared" si="1"/>
        <v>0</v>
      </c>
      <c r="J357" s="67"/>
      <c r="K357" s="36"/>
      <c r="L357" s="67"/>
      <c r="M357" s="28"/>
      <c r="N357" s="286" t="s">
        <v>1412</v>
      </c>
      <c r="O357" s="286">
        <v>45</v>
      </c>
      <c r="P357" s="286">
        <v>3</v>
      </c>
    </row>
    <row r="358" spans="1:17" ht="12.5">
      <c r="A358" s="60" t="s">
        <v>255</v>
      </c>
      <c r="B358" s="287" t="str">
        <f>HYPERLINK("https://uva.onlinejudge.org/index.php?option=onlinejudge&amp;page=show_problem&amp;problem=1183","UVA 10242")</f>
        <v>UVA 10242</v>
      </c>
      <c r="C358" s="67"/>
      <c r="D358" s="67"/>
      <c r="E358" s="67"/>
      <c r="F358" s="67"/>
      <c r="G358" s="67"/>
      <c r="H358" s="67"/>
      <c r="I358" s="36">
        <f t="shared" si="1"/>
        <v>0</v>
      </c>
      <c r="J358" s="93"/>
      <c r="K358" s="36"/>
      <c r="L358" s="93"/>
      <c r="M358" s="293" t="str">
        <f>HYPERLINK("https://www.youtube.com/watch?v=QkYkuhUHMQA&amp;feature=youtu.be","Video Solution - Eng Magdy Hasan")</f>
        <v>Video Solution - Eng Magdy Hasan</v>
      </c>
      <c r="N358" s="286" t="s">
        <v>1413</v>
      </c>
      <c r="O358" s="286">
        <v>45</v>
      </c>
      <c r="P358" s="286">
        <v>3</v>
      </c>
    </row>
    <row r="359" spans="1:17" ht="12.5">
      <c r="A359" s="60" t="s">
        <v>829</v>
      </c>
      <c r="B359" s="287" t="str">
        <f>HYPERLINK("http://codeforces.com/contest/474/problem/C","CF474-D2-C")</f>
        <v>CF474-D2-C</v>
      </c>
      <c r="C359" s="67"/>
      <c r="D359" s="67"/>
      <c r="E359" s="67"/>
      <c r="F359" s="67"/>
      <c r="G359" s="67"/>
      <c r="H359" s="67"/>
      <c r="I359" s="36">
        <f t="shared" si="1"/>
        <v>0</v>
      </c>
      <c r="J359" s="36"/>
      <c r="K359" s="36"/>
      <c r="L359" s="67"/>
      <c r="M359" s="290" t="str">
        <f>HYPERLINK("https://www.youtube.com/watch?v=TpRObCQT9Lw","Video Solution - Dr Mostafa Saad")</f>
        <v>Video Solution - Dr Mostafa Saad</v>
      </c>
      <c r="N359" s="286" t="s">
        <v>1414</v>
      </c>
      <c r="O359" s="286">
        <v>45</v>
      </c>
      <c r="P359" s="286">
        <v>3.5</v>
      </c>
      <c r="Q359" s="12" t="s">
        <v>1243</v>
      </c>
    </row>
    <row r="360" spans="1:17" ht="12.5">
      <c r="A360" s="60" t="s">
        <v>252</v>
      </c>
      <c r="B360" s="287" t="str">
        <f>HYPERLINK("https://uva.onlinejudge.org/index.php?option=onlinejudge&amp;page=show_problem&amp;problem=401","UVA 460")</f>
        <v>UVA 460</v>
      </c>
      <c r="C360" s="67"/>
      <c r="D360" s="67"/>
      <c r="E360" s="67"/>
      <c r="F360" s="67"/>
      <c r="G360" s="67"/>
      <c r="H360" s="67"/>
      <c r="I360" s="36">
        <f t="shared" si="1"/>
        <v>0</v>
      </c>
      <c r="J360" s="93"/>
      <c r="K360" s="36"/>
      <c r="L360" s="93"/>
      <c r="M360" s="293" t="str">
        <f>HYPERLINK("https://www.youtube.com/watch?v=NOZxcOu25Iw","Video Solution - Eng Muntaser Abukadeja")</f>
        <v>Video Solution - Eng Muntaser Abukadeja</v>
      </c>
      <c r="N360" s="286" t="s">
        <v>1409</v>
      </c>
      <c r="O360" s="286">
        <v>45</v>
      </c>
      <c r="P360" s="286">
        <v>3.5</v>
      </c>
    </row>
    <row r="361" spans="1:17" ht="12.5">
      <c r="A361" s="60" t="s">
        <v>1078</v>
      </c>
      <c r="B361" s="287" t="str">
        <f>HYPERLINK("https://www.hackerrank.com/challenges/xrange-and-pizza","HACKR xrange-and-pizza")</f>
        <v>HACKR xrange-and-pizza</v>
      </c>
      <c r="C361" s="67"/>
      <c r="D361" s="67"/>
      <c r="E361" s="67"/>
      <c r="F361" s="67"/>
      <c r="G361" s="67"/>
      <c r="H361" s="67"/>
      <c r="I361" s="36">
        <f t="shared" si="1"/>
        <v>0</v>
      </c>
      <c r="J361" s="36"/>
      <c r="K361" s="36"/>
      <c r="L361" s="302"/>
      <c r="M361" s="301" t="str">
        <f>HYPERLINK("https://github.com/AbdelrahmanRamadan/competitive-programming/blob/master/HackerRank/xrange-and-pizza.cpp","Sol")</f>
        <v>Sol</v>
      </c>
      <c r="N361" s="286" t="s">
        <v>1415</v>
      </c>
      <c r="O361" s="286">
        <v>45</v>
      </c>
      <c r="P361" s="286">
        <v>4</v>
      </c>
      <c r="Q361" s="12" t="s">
        <v>1243</v>
      </c>
    </row>
    <row r="362" spans="1:17" ht="12.5">
      <c r="A362" s="60"/>
      <c r="B362" s="287" t="str">
        <f>HYPERLINK("https://www.hackerrank.com/challenges/a-circle-and-a-square","HACKR a-circle-and-a-square")</f>
        <v>HACKR a-circle-and-a-square</v>
      </c>
      <c r="C362" s="67"/>
      <c r="D362" s="67"/>
      <c r="E362" s="67"/>
      <c r="F362" s="67"/>
      <c r="G362" s="67"/>
      <c r="H362" s="67"/>
      <c r="I362" s="36">
        <f t="shared" si="1"/>
        <v>0</v>
      </c>
      <c r="J362" s="36"/>
      <c r="K362" s="36"/>
      <c r="L362" s="67"/>
      <c r="M362" s="28"/>
      <c r="N362" s="286" t="s">
        <v>1416</v>
      </c>
      <c r="O362" s="286">
        <v>45</v>
      </c>
      <c r="P362" s="286">
        <v>4</v>
      </c>
      <c r="Q362" s="12" t="s">
        <v>1243</v>
      </c>
    </row>
    <row r="363" spans="1:17" ht="12.5">
      <c r="A363" s="60"/>
      <c r="B363" s="60" t="s">
        <v>798</v>
      </c>
      <c r="C363" s="67"/>
      <c r="D363" s="67"/>
      <c r="E363" s="67"/>
      <c r="F363" s="67"/>
      <c r="G363" s="67"/>
      <c r="H363" s="67"/>
      <c r="I363" s="36">
        <f t="shared" si="1"/>
        <v>0</v>
      </c>
      <c r="J363" s="36"/>
      <c r="K363" s="36"/>
      <c r="L363" s="67"/>
      <c r="M363" s="301" t="str">
        <f>HYPERLINK("https://github.com/mostafa-saad/MyCompetitiveProgramming/blob/master/SPOJ/SPOJ_FACENEMY.txt","Sol")</f>
        <v>Sol</v>
      </c>
      <c r="N363" s="286" t="s">
        <v>1417</v>
      </c>
      <c r="O363" s="286">
        <v>45</v>
      </c>
      <c r="P363" s="286">
        <v>4</v>
      </c>
      <c r="Q363" s="12" t="s">
        <v>1239</v>
      </c>
    </row>
    <row r="364" spans="1:17" ht="12.5">
      <c r="A364" s="60" t="s">
        <v>636</v>
      </c>
      <c r="B364" s="287" t="str">
        <f>HYPERLINK("http://codeforces.com/contest/275/problem/C","CF275-D2-C")</f>
        <v>CF275-D2-C</v>
      </c>
      <c r="C364" s="67"/>
      <c r="D364" s="67"/>
      <c r="E364" s="67"/>
      <c r="F364" s="67"/>
      <c r="G364" s="67"/>
      <c r="H364" s="67"/>
      <c r="I364" s="36">
        <f t="shared" si="1"/>
        <v>0</v>
      </c>
      <c r="J364" s="36"/>
      <c r="K364" s="36"/>
      <c r="L364" s="67"/>
      <c r="M364" s="60"/>
      <c r="N364" s="286" t="s">
        <v>1409</v>
      </c>
      <c r="O364" s="286">
        <v>45</v>
      </c>
      <c r="P364" s="286">
        <v>4</v>
      </c>
    </row>
    <row r="365" spans="1:17" ht="12.5">
      <c r="A365" s="60" t="s">
        <v>620</v>
      </c>
      <c r="B365" s="287" t="str">
        <f>HYPERLINK("http://codeforces.com/contest/560/problem/C","CF560-D2-C")</f>
        <v>CF560-D2-C</v>
      </c>
      <c r="C365" s="67"/>
      <c r="D365" s="67"/>
      <c r="E365" s="67"/>
      <c r="F365" s="67"/>
      <c r="G365" s="67"/>
      <c r="H365" s="67"/>
      <c r="I365" s="36">
        <f t="shared" si="1"/>
        <v>0</v>
      </c>
      <c r="J365" s="36"/>
      <c r="K365" s="36"/>
      <c r="L365" s="67"/>
      <c r="M365" s="154"/>
      <c r="N365" s="286" t="s">
        <v>1409</v>
      </c>
      <c r="O365" s="286">
        <v>45</v>
      </c>
      <c r="P365" s="286">
        <v>4</v>
      </c>
    </row>
    <row r="366" spans="1:17" ht="12.5">
      <c r="A366" s="60" t="s">
        <v>784</v>
      </c>
      <c r="B366" s="287" t="str">
        <f>HYPERLINK("http://codeforces.com/contest/257/problem/C","CF257-D2-C")</f>
        <v>CF257-D2-C</v>
      </c>
      <c r="C366" s="67"/>
      <c r="D366" s="67"/>
      <c r="E366" s="67"/>
      <c r="F366" s="67"/>
      <c r="G366" s="67"/>
      <c r="H366" s="67"/>
      <c r="I366" s="36">
        <f t="shared" si="1"/>
        <v>0</v>
      </c>
      <c r="J366" s="36"/>
      <c r="K366" s="36"/>
      <c r="L366" s="67"/>
      <c r="M366" s="290" t="str">
        <f>HYPERLINK("https://github.com/mostafa-saad/MyCompetitiveProgramming/blob/master/Codeforces/CF257-D2-C-AhmedOsama.pdf","Editorial - Eng Ahmed Osama")</f>
        <v>Editorial - Eng Ahmed Osama</v>
      </c>
      <c r="N366" s="286" t="s">
        <v>1418</v>
      </c>
      <c r="O366" s="286">
        <v>45</v>
      </c>
      <c r="P366" s="286">
        <v>4</v>
      </c>
    </row>
    <row r="367" spans="1:17" ht="12.5">
      <c r="A367" s="60" t="s">
        <v>583</v>
      </c>
      <c r="B367" s="287" t="str">
        <f>HYPERLINK("http://codeforces.com/contest/651/problem/C","CF651-D2-C")</f>
        <v>CF651-D2-C</v>
      </c>
      <c r="C367" s="67"/>
      <c r="D367" s="67"/>
      <c r="E367" s="67"/>
      <c r="F367" s="67"/>
      <c r="G367" s="67"/>
      <c r="H367" s="67"/>
      <c r="I367" s="36">
        <f t="shared" si="1"/>
        <v>0</v>
      </c>
      <c r="J367" s="67"/>
      <c r="K367" s="67"/>
      <c r="L367" s="67"/>
      <c r="M367" s="28"/>
      <c r="N367" s="286" t="s">
        <v>1419</v>
      </c>
      <c r="O367" s="286">
        <v>45</v>
      </c>
      <c r="P367" s="286">
        <v>4</v>
      </c>
    </row>
    <row r="368" spans="1:17" ht="12.5">
      <c r="A368" s="60" t="s">
        <v>1046</v>
      </c>
      <c r="B368" s="287" t="str">
        <f>HYPERLINK("http://codeforces.com/contest/659/problem/D","CF659-D2-D")</f>
        <v>CF659-D2-D</v>
      </c>
      <c r="C368" s="67"/>
      <c r="D368" s="67"/>
      <c r="E368" s="67"/>
      <c r="F368" s="67"/>
      <c r="G368" s="67"/>
      <c r="H368" s="67"/>
      <c r="I368" s="36">
        <f t="shared" si="1"/>
        <v>0</v>
      </c>
      <c r="J368" s="67"/>
      <c r="K368" s="67"/>
      <c r="L368" s="67"/>
      <c r="M368" s="28"/>
      <c r="N368" s="286" t="s">
        <v>1420</v>
      </c>
      <c r="O368" s="286">
        <v>45</v>
      </c>
      <c r="P368" s="286">
        <v>4.5</v>
      </c>
      <c r="Q368" s="12" t="s">
        <v>1245</v>
      </c>
    </row>
    <row r="369" spans="1:17" ht="12.5">
      <c r="A369" s="60" t="s">
        <v>740</v>
      </c>
      <c r="B369" s="287" t="str">
        <f>HYPERLINK("http://www.spoj.com/problems/PIR/","SPOJ PIR")</f>
        <v>SPOJ PIR</v>
      </c>
      <c r="C369" s="67"/>
      <c r="D369" s="67"/>
      <c r="E369" s="67"/>
      <c r="F369" s="67"/>
      <c r="G369" s="67"/>
      <c r="H369" s="67"/>
      <c r="I369" s="36">
        <f t="shared" si="1"/>
        <v>0</v>
      </c>
      <c r="J369" s="36"/>
      <c r="K369" s="36"/>
      <c r="L369" s="67"/>
      <c r="M369" s="301" t="str">
        <f>HYPERLINK("https://github.com/mostafa-saad/MyCompetitiveProgramming/blob/master/SPOJ/SPOJ_PIR.txt","Sol")</f>
        <v>Sol</v>
      </c>
      <c r="N369" s="286" t="s">
        <v>1421</v>
      </c>
      <c r="O369" s="286">
        <v>45</v>
      </c>
      <c r="P369" s="286">
        <v>4.5</v>
      </c>
      <c r="Q369" s="12" t="s">
        <v>1239</v>
      </c>
    </row>
    <row r="370" spans="1:17" ht="12.5">
      <c r="A370" s="60" t="s">
        <v>619</v>
      </c>
      <c r="B370" s="287" t="str">
        <f>HYPERLINK("http://codeforces.com/contest/707/problem/C","CF707-D2-C")</f>
        <v>CF707-D2-C</v>
      </c>
      <c r="C370" s="67"/>
      <c r="D370" s="67"/>
      <c r="E370" s="67"/>
      <c r="F370" s="67"/>
      <c r="G370" s="67"/>
      <c r="H370" s="67"/>
      <c r="I370" s="36">
        <f t="shared" si="1"/>
        <v>0</v>
      </c>
      <c r="J370" s="36"/>
      <c r="K370" s="36"/>
      <c r="L370" s="67"/>
      <c r="M370" s="60"/>
      <c r="N370" s="309" t="s">
        <v>1422</v>
      </c>
      <c r="O370" s="286">
        <v>45</v>
      </c>
      <c r="P370" s="286">
        <v>4.5</v>
      </c>
      <c r="Q370" s="12" t="s">
        <v>1243</v>
      </c>
    </row>
    <row r="371" spans="1:17" ht="12.5">
      <c r="A371" s="60"/>
      <c r="B371" s="287" t="str">
        <f>HYPERLINK("https://www.spoj.com/problems/BILLIARD/","SPOJ BILLIARD")</f>
        <v>SPOJ BILLIARD</v>
      </c>
      <c r="C371" s="67"/>
      <c r="D371" s="67"/>
      <c r="E371" s="67"/>
      <c r="F371" s="67"/>
      <c r="G371" s="67"/>
      <c r="H371" s="67"/>
      <c r="I371" s="36">
        <f t="shared" si="1"/>
        <v>0</v>
      </c>
      <c r="J371" s="67"/>
      <c r="K371" s="67"/>
      <c r="L371" s="310"/>
      <c r="M371" s="216" t="str">
        <f>HYPERLINK("https://github.com/osamahatem/CompetitiveProgramming/blob/master/SPOJ/BILLIARD.cpp","Sol")</f>
        <v>Sol</v>
      </c>
      <c r="N371" s="286" t="s">
        <v>1423</v>
      </c>
      <c r="O371" s="286">
        <v>45</v>
      </c>
      <c r="P371" s="286">
        <v>5</v>
      </c>
      <c r="Q371" s="12"/>
    </row>
    <row r="372" spans="1:17" ht="12.5">
      <c r="A372" s="60" t="s">
        <v>956</v>
      </c>
      <c r="B372" s="287" t="str">
        <f>HYPERLINK("http://codeforces.com/contest/342/problem/C","CF342-D2-C")</f>
        <v>CF342-D2-C</v>
      </c>
      <c r="C372" s="67"/>
      <c r="D372" s="67"/>
      <c r="E372" s="67"/>
      <c r="F372" s="67"/>
      <c r="G372" s="67"/>
      <c r="H372" s="67"/>
      <c r="I372" s="36">
        <f t="shared" si="1"/>
        <v>0</v>
      </c>
      <c r="J372" s="67"/>
      <c r="K372" s="67"/>
      <c r="L372" s="67"/>
      <c r="M372" s="28"/>
      <c r="N372" s="286" t="s">
        <v>1409</v>
      </c>
      <c r="O372" s="286">
        <v>45</v>
      </c>
      <c r="P372" s="286">
        <v>5</v>
      </c>
      <c r="Q372" s="12" t="s">
        <v>1245</v>
      </c>
    </row>
    <row r="373" spans="1:17" ht="12.5">
      <c r="A373" s="60"/>
      <c r="B373" s="287" t="str">
        <f>HYPERLINK("https://codeforces.com/contest/1064/problem/E","CF1064-D2-E")</f>
        <v>CF1064-D2-E</v>
      </c>
      <c r="C373" s="67"/>
      <c r="D373" s="67"/>
      <c r="E373" s="67"/>
      <c r="F373" s="67"/>
      <c r="G373" s="67"/>
      <c r="H373" s="67"/>
      <c r="I373" s="36">
        <f t="shared" si="1"/>
        <v>0</v>
      </c>
      <c r="J373" s="36"/>
      <c r="K373" s="36"/>
      <c r="L373" s="67"/>
      <c r="M373" s="191"/>
      <c r="N373" s="286" t="s">
        <v>1424</v>
      </c>
      <c r="O373" s="286">
        <v>45</v>
      </c>
      <c r="P373" s="286">
        <v>5</v>
      </c>
      <c r="Q373" s="12" t="s">
        <v>1245</v>
      </c>
    </row>
    <row r="374" spans="1:17" ht="12.5">
      <c r="A374" s="60"/>
      <c r="B374" s="287" t="str">
        <f>HYPERLINK("http://codeforces.com/problemset/problem/961/D","CF961-D12-D")</f>
        <v>CF961-D12-D</v>
      </c>
      <c r="C374" s="67"/>
      <c r="D374" s="67"/>
      <c r="E374" s="67"/>
      <c r="F374" s="67"/>
      <c r="G374" s="67"/>
      <c r="H374" s="67"/>
      <c r="I374" s="36">
        <f t="shared" si="1"/>
        <v>0</v>
      </c>
      <c r="J374" s="36"/>
      <c r="K374" s="36"/>
      <c r="L374" s="67"/>
      <c r="M374" s="286"/>
      <c r="N374" s="286" t="s">
        <v>1409</v>
      </c>
      <c r="O374" s="286">
        <v>45</v>
      </c>
      <c r="P374" s="286">
        <v>5</v>
      </c>
      <c r="Q374" s="12" t="s">
        <v>1243</v>
      </c>
    </row>
    <row r="375" spans="1:17" ht="12.5">
      <c r="A375" s="60"/>
      <c r="B375" s="287" t="str">
        <f>HYPERLINK("https://codeforces.com/gym/101917/problem/E", "CF101917-D12-E")</f>
        <v>CF101917-D12-E</v>
      </c>
      <c r="C375" s="67"/>
      <c r="D375" s="67"/>
      <c r="E375" s="67"/>
      <c r="F375" s="67"/>
      <c r="G375" s="67"/>
      <c r="H375" s="67"/>
      <c r="I375" s="36">
        <f t="shared" si="1"/>
        <v>0</v>
      </c>
      <c r="J375" s="67"/>
      <c r="K375" s="67"/>
      <c r="L375" s="67"/>
      <c r="M375" s="28"/>
      <c r="N375" s="286" t="s">
        <v>1425</v>
      </c>
      <c r="O375" s="286">
        <v>45</v>
      </c>
      <c r="P375" s="286">
        <v>5</v>
      </c>
      <c r="Q375" s="12" t="s">
        <v>1243</v>
      </c>
    </row>
    <row r="376" spans="1:17" ht="12.5">
      <c r="A376" s="60"/>
      <c r="B376" s="287" t="str">
        <f>HYPERLINK("http://codeforces.com/contest/552/problem/D","CF552-D2-D")</f>
        <v>CF552-D2-D</v>
      </c>
      <c r="C376" s="67"/>
      <c r="D376" s="67"/>
      <c r="E376" s="67"/>
      <c r="F376" s="67"/>
      <c r="G376" s="67"/>
      <c r="H376" s="67"/>
      <c r="I376" s="36">
        <f t="shared" si="1"/>
        <v>0</v>
      </c>
      <c r="J376" s="67"/>
      <c r="K376" s="67"/>
      <c r="L376" s="67"/>
      <c r="M376" s="28"/>
      <c r="N376" s="286" t="s">
        <v>1426</v>
      </c>
      <c r="O376" s="286">
        <v>45</v>
      </c>
      <c r="P376" s="286">
        <v>5</v>
      </c>
      <c r="Q376" s="12" t="s">
        <v>1243</v>
      </c>
    </row>
    <row r="377" spans="1:17" ht="12.5">
      <c r="A377" s="60"/>
      <c r="B377" s="287" t="str">
        <f>HYPERLINK("https://github.com/racsosabe/CompetitiveProgramming/blob/master/CodeForces/CF1016-D2-E.cpp","CF1016-D2-E")</f>
        <v>CF1016-D2-E</v>
      </c>
      <c r="C377" s="67"/>
      <c r="D377" s="67"/>
      <c r="E377" s="67"/>
      <c r="F377" s="67"/>
      <c r="G377" s="67"/>
      <c r="H377" s="67"/>
      <c r="I377" s="36">
        <f t="shared" si="1"/>
        <v>0</v>
      </c>
      <c r="J377" s="36"/>
      <c r="K377" s="36"/>
      <c r="L377" s="67"/>
      <c r="M377" s="191"/>
      <c r="N377" s="286" t="s">
        <v>1427</v>
      </c>
      <c r="O377" s="286">
        <v>45</v>
      </c>
      <c r="P377" s="286">
        <v>5</v>
      </c>
      <c r="Q377" s="12" t="s">
        <v>1243</v>
      </c>
    </row>
    <row r="378" spans="1:17" ht="12.5">
      <c r="A378" s="60"/>
      <c r="B378" s="287" t="str">
        <f>HYPERLINK("http://codeforces.com/contest/1058/problem/D","CF1058-D2-D")</f>
        <v>CF1058-D2-D</v>
      </c>
      <c r="C378" s="67"/>
      <c r="D378" s="67"/>
      <c r="E378" s="67"/>
      <c r="F378" s="67"/>
      <c r="G378" s="67"/>
      <c r="H378" s="67"/>
      <c r="I378" s="36">
        <f t="shared" si="1"/>
        <v>0</v>
      </c>
      <c r="J378" s="67"/>
      <c r="K378" s="67"/>
      <c r="L378" s="67"/>
      <c r="M378" s="28"/>
      <c r="N378" s="286" t="s">
        <v>1428</v>
      </c>
      <c r="O378" s="286">
        <v>45</v>
      </c>
      <c r="P378" s="286">
        <v>5</v>
      </c>
      <c r="Q378" s="12" t="s">
        <v>1243</v>
      </c>
    </row>
    <row r="379" spans="1:17" ht="12.5">
      <c r="A379" s="60"/>
      <c r="B379" s="60" t="s">
        <v>1139</v>
      </c>
      <c r="C379" s="67"/>
      <c r="D379" s="67"/>
      <c r="E379" s="67"/>
      <c r="F379" s="67"/>
      <c r="G379" s="67"/>
      <c r="H379" s="67"/>
      <c r="I379" s="36">
        <f t="shared" si="1"/>
        <v>0</v>
      </c>
      <c r="J379" s="67"/>
      <c r="K379" s="67"/>
      <c r="L379" s="302"/>
      <c r="M379" s="216" t="str">
        <f>HYPERLINK("https://github.com/morris821028/UVa/blob/master/volume013/1342%20-%20That%20Nice%20Euler%20Circuit.cpp","Sol")</f>
        <v>Sol</v>
      </c>
      <c r="N379" s="286" t="s">
        <v>1429</v>
      </c>
      <c r="O379" s="286">
        <v>45</v>
      </c>
      <c r="P379" s="286">
        <v>5</v>
      </c>
    </row>
    <row r="380" spans="1:17" ht="12.5">
      <c r="A380" s="60"/>
      <c r="B380" s="287" t="str">
        <f>HYPERLINK("http://codeforces.com/gym/101864/problem/L","CF101864-GYM-L")</f>
        <v>CF101864-GYM-L</v>
      </c>
      <c r="C380" s="67"/>
      <c r="D380" s="67"/>
      <c r="E380" s="67"/>
      <c r="F380" s="67"/>
      <c r="G380" s="67"/>
      <c r="H380" s="67"/>
      <c r="I380" s="36">
        <f t="shared" si="1"/>
        <v>0</v>
      </c>
      <c r="J380" s="36"/>
      <c r="K380" s="36"/>
      <c r="L380" s="302"/>
      <c r="M380" s="301" t="str">
        <f>HYPERLINK("https://github.com/SpeedOfMagic/CompetitiveProgramming/blob/master/CodeforcesGym/CF101864-GYM-L.cpp","Sol")</f>
        <v>Sol</v>
      </c>
      <c r="N380" s="286" t="s">
        <v>1430</v>
      </c>
      <c r="O380" s="286">
        <v>45</v>
      </c>
      <c r="P380" s="286">
        <v>5.5</v>
      </c>
      <c r="Q380" s="12" t="s">
        <v>1245</v>
      </c>
    </row>
    <row r="381" spans="1:17" ht="12.5">
      <c r="A381" s="60"/>
      <c r="B381" s="287" t="str">
        <f>HYPERLINK("http://codeforces.com/contest/80/problem/D","CF80-D2-D")</f>
        <v>CF80-D2-D</v>
      </c>
      <c r="C381" s="67"/>
      <c r="D381" s="67"/>
      <c r="E381" s="67"/>
      <c r="F381" s="67"/>
      <c r="G381" s="67"/>
      <c r="H381" s="67"/>
      <c r="I381" s="36">
        <f t="shared" si="1"/>
        <v>0</v>
      </c>
      <c r="J381" s="67"/>
      <c r="K381" s="67"/>
      <c r="L381" s="67"/>
      <c r="M381" s="191"/>
      <c r="N381" s="286" t="s">
        <v>1431</v>
      </c>
      <c r="O381" s="286">
        <v>45</v>
      </c>
      <c r="P381" s="286">
        <v>5.5</v>
      </c>
      <c r="Q381" s="12" t="s">
        <v>1243</v>
      </c>
    </row>
    <row r="382" spans="1:17" ht="12.5">
      <c r="A382" s="60"/>
      <c r="B382" s="60" t="s">
        <v>1080</v>
      </c>
      <c r="C382" s="67"/>
      <c r="D382" s="67"/>
      <c r="E382" s="67"/>
      <c r="F382" s="67"/>
      <c r="G382" s="67"/>
      <c r="H382" s="67"/>
      <c r="I382" s="36">
        <f t="shared" si="1"/>
        <v>0</v>
      </c>
      <c r="J382" s="36"/>
      <c r="K382" s="36"/>
      <c r="L382" s="302"/>
      <c r="M382" s="301" t="str">
        <f>HYPERLINK("https://github.com/mostafa-saad/MyCompetitiveProgramming/blob/master/UVA/UVA_11648.txt", "Sol")</f>
        <v>Sol</v>
      </c>
      <c r="N382" s="286" t="s">
        <v>1432</v>
      </c>
      <c r="O382" s="286">
        <v>45</v>
      </c>
      <c r="P382" s="286">
        <v>6</v>
      </c>
      <c r="Q382" s="12" t="s">
        <v>1243</v>
      </c>
    </row>
    <row r="383" spans="1:17" ht="12.5">
      <c r="A383" s="60"/>
      <c r="B383" s="60" t="s">
        <v>999</v>
      </c>
      <c r="C383" s="67"/>
      <c r="D383" s="67"/>
      <c r="E383" s="67"/>
      <c r="F383" s="67"/>
      <c r="G383" s="67"/>
      <c r="H383" s="67"/>
      <c r="I383" s="36">
        <f t="shared" si="1"/>
        <v>0</v>
      </c>
      <c r="J383" s="67"/>
      <c r="K383" s="67"/>
      <c r="L383" s="67"/>
      <c r="M383" s="301" t="str">
        <f>HYPERLINK("https://github.com/mostafa-saad/MyCompetitiveProgramming/blob/master/UVA/UVA_1333.txt","Sol - Text/Background Clarification")</f>
        <v>Sol - Text/Background Clarification</v>
      </c>
      <c r="N383" s="286" t="s">
        <v>1433</v>
      </c>
      <c r="O383" s="286">
        <v>45</v>
      </c>
      <c r="P383" s="286">
        <v>6</v>
      </c>
      <c r="Q383" s="12" t="s">
        <v>1239</v>
      </c>
    </row>
    <row r="384" spans="1:17" ht="12.5">
      <c r="A384" s="60" t="s">
        <v>1059</v>
      </c>
      <c r="B384" s="287" t="str">
        <f>HYPERLINK("http://codeforces.com/contest/203/problem/D","CF203-D2-D")</f>
        <v>CF203-D2-D</v>
      </c>
      <c r="C384" s="67"/>
      <c r="D384" s="67"/>
      <c r="E384" s="67"/>
      <c r="F384" s="67"/>
      <c r="G384" s="67"/>
      <c r="H384" s="67"/>
      <c r="I384" s="36">
        <f t="shared" si="1"/>
        <v>0</v>
      </c>
      <c r="J384" s="36"/>
      <c r="K384" s="36"/>
      <c r="L384" s="302"/>
      <c r="M384" s="286"/>
      <c r="N384" s="286" t="s">
        <v>1434</v>
      </c>
      <c r="O384" s="286">
        <v>46</v>
      </c>
      <c r="P384" s="286">
        <v>5</v>
      </c>
      <c r="Q384" s="12" t="s">
        <v>1243</v>
      </c>
    </row>
    <row r="385" spans="1:17" ht="12.5">
      <c r="A385" s="60"/>
      <c r="B385" s="60" t="s">
        <v>773</v>
      </c>
      <c r="C385" s="67"/>
      <c r="D385" s="67"/>
      <c r="E385" s="67"/>
      <c r="F385" s="67"/>
      <c r="G385" s="67"/>
      <c r="H385" s="67"/>
      <c r="I385" s="36">
        <f t="shared" si="1"/>
        <v>0</v>
      </c>
      <c r="J385" s="67"/>
      <c r="K385" s="67"/>
      <c r="L385" s="67"/>
      <c r="M385" s="296" t="str">
        <f>HYPERLINK("https://github.com/MeGaCrazy/CompetitiveProgramming/blob/c099628e643065a7bae09af22c4cbce1216e4db9/UVA/UVA_453.cpp","Learn Handling Precisions")</f>
        <v>Learn Handling Precisions</v>
      </c>
      <c r="N385" s="286" t="s">
        <v>1435</v>
      </c>
      <c r="O385" s="286">
        <v>47</v>
      </c>
      <c r="P385" s="286">
        <v>2</v>
      </c>
      <c r="Q385" s="12"/>
    </row>
    <row r="386" spans="1:17" ht="12.5">
      <c r="A386" s="60" t="s">
        <v>836</v>
      </c>
      <c r="B386" s="287" t="str">
        <f>HYPERLINK("https://uva.onlinejudge.org/index.php?option=onlinejudge&amp;page=show_problem&amp;problem=4601","UVA 12748")</f>
        <v>UVA 12748</v>
      </c>
      <c r="C386" s="67"/>
      <c r="D386" s="67"/>
      <c r="E386" s="67"/>
      <c r="F386" s="67"/>
      <c r="G386" s="67"/>
      <c r="H386" s="67"/>
      <c r="I386" s="36">
        <f t="shared" si="1"/>
        <v>0</v>
      </c>
      <c r="J386" s="36"/>
      <c r="K386" s="36"/>
      <c r="L386" s="67"/>
      <c r="M386" s="301" t="str">
        <f>HYPERLINK("https://github.com/MeGaCrazy/CompetitiveProgramming/blob/29ebad1d90e70a17ac4e646e5f049b980fb777de/UVA/UVA_12748.cpp","Sol")</f>
        <v>Sol</v>
      </c>
      <c r="N386" s="286" t="s">
        <v>1436</v>
      </c>
      <c r="O386" s="286">
        <v>47</v>
      </c>
      <c r="P386" s="286">
        <v>2</v>
      </c>
    </row>
    <row r="387" spans="1:17" ht="12.5">
      <c r="A387" s="60" t="s">
        <v>792</v>
      </c>
      <c r="B387" s="287" t="str">
        <f>HYPERLINK("https://uva.onlinejudge.org/index.php?option=onlinejudge&amp;page=show_problem&amp;problem=1242","UVA 10301")</f>
        <v>UVA 10301</v>
      </c>
      <c r="C387" s="67"/>
      <c r="D387" s="67"/>
      <c r="E387" s="67"/>
      <c r="F387" s="67"/>
      <c r="G387" s="67"/>
      <c r="H387" s="67"/>
      <c r="I387" s="36">
        <f t="shared" si="1"/>
        <v>0</v>
      </c>
      <c r="J387" s="36"/>
      <c r="K387" s="36"/>
      <c r="L387" s="67"/>
      <c r="M387" s="301" t="str">
        <f>HYPERLINK("https://github.com/MeGaCrazy/CompetitiveProgramming/blob/51252e18803855ed2eacedc50f53b90fe8d184e6/UVA/UVA_10301.cpp","Sol")</f>
        <v>Sol</v>
      </c>
      <c r="N387" s="286" t="s">
        <v>1437</v>
      </c>
      <c r="O387" s="286">
        <v>47</v>
      </c>
      <c r="P387" s="286">
        <v>3</v>
      </c>
      <c r="Q387" s="12" t="s">
        <v>1239</v>
      </c>
    </row>
    <row r="388" spans="1:17" ht="12.5">
      <c r="A388" s="60" t="s">
        <v>772</v>
      </c>
      <c r="B388" s="287" t="str">
        <f>HYPERLINK("https://uva.onlinejudge.org/index.php?option=onlinejudge&amp;page=show_problem&amp;problem=292","UVA 356")</f>
        <v>UVA 356</v>
      </c>
      <c r="C388" s="67"/>
      <c r="D388" s="67"/>
      <c r="E388" s="67"/>
      <c r="F388" s="67"/>
      <c r="G388" s="67"/>
      <c r="H388" s="67"/>
      <c r="I388" s="36">
        <f t="shared" si="1"/>
        <v>0</v>
      </c>
      <c r="J388" s="36"/>
      <c r="K388" s="36"/>
      <c r="L388" s="67"/>
      <c r="M388" s="290" t="str">
        <f>HYPERLINK("https://github.com/AymanSalah96/CompetitiveProgramming/blob/master/UVA/356.cpp","Sol to read")</f>
        <v>Sol to read</v>
      </c>
      <c r="N388" s="286" t="s">
        <v>1438</v>
      </c>
      <c r="O388" s="286">
        <v>47</v>
      </c>
      <c r="P388" s="286">
        <v>3</v>
      </c>
    </row>
    <row r="389" spans="1:17" ht="12.5">
      <c r="A389" s="60" t="s">
        <v>770</v>
      </c>
      <c r="B389" s="287" t="str">
        <f>HYPERLINK("https://uva.onlinejudge.org/index.php?option=onlinejudge&amp;page=show_problem&amp;problem=379","UVA 438")</f>
        <v>UVA 438</v>
      </c>
      <c r="C389" s="67"/>
      <c r="D389" s="67"/>
      <c r="E389" s="67"/>
      <c r="F389" s="67"/>
      <c r="G389" s="67"/>
      <c r="H389" s="67"/>
      <c r="I389" s="36">
        <f t="shared" si="1"/>
        <v>0</v>
      </c>
      <c r="J389" s="36"/>
      <c r="K389" s="36"/>
      <c r="L389" s="67"/>
      <c r="M389" s="301" t="str">
        <f>HYPERLINK("https://github.com/hosamk92/CompetitiveProgramming/blob/master/UVA/UVA%20438.cpp","Sol")</f>
        <v>Sol</v>
      </c>
      <c r="N389" s="286" t="s">
        <v>1438</v>
      </c>
      <c r="O389" s="286">
        <v>47</v>
      </c>
      <c r="P389" s="286">
        <v>3</v>
      </c>
    </row>
    <row r="390" spans="1:17" ht="12.5">
      <c r="A390" s="60" t="s">
        <v>771</v>
      </c>
      <c r="B390" s="287" t="str">
        <f>HYPERLINK("https://uva.onlinejudge.org/index.php?option=com_onlinejudge&amp;Itemid=8&amp;page=show_problem&amp;problem=418","UVA 477")</f>
        <v>UVA 477</v>
      </c>
      <c r="C390" s="67"/>
      <c r="D390" s="67"/>
      <c r="E390" s="67"/>
      <c r="F390" s="67"/>
      <c r="G390" s="67"/>
      <c r="H390" s="67"/>
      <c r="I390" s="36">
        <f t="shared" si="1"/>
        <v>0</v>
      </c>
      <c r="J390" s="36"/>
      <c r="K390" s="36"/>
      <c r="L390" s="67"/>
      <c r="M390" s="301" t="str">
        <f>HYPERLINK("https://github.com/MeGaCrazy/CompetitiveProgramming/blob/5343b4e1aabd67db25a4864de4eb81eb094709e3/UVA/UVA_477.cpp","Sol")</f>
        <v>Sol</v>
      </c>
      <c r="N390" s="286" t="s">
        <v>1438</v>
      </c>
      <c r="O390" s="286">
        <v>47</v>
      </c>
      <c r="P390" s="286">
        <v>3.5</v>
      </c>
    </row>
    <row r="391" spans="1:17" ht="12.5">
      <c r="A391" s="60" t="s">
        <v>791</v>
      </c>
      <c r="B391" s="287" t="str">
        <f>HYPERLINK("http://codeforces.com/contest/199/problem/B","CF199-D2-B")</f>
        <v>CF199-D2-B</v>
      </c>
      <c r="C391" s="67"/>
      <c r="D391" s="67"/>
      <c r="E391" s="67"/>
      <c r="F391" s="67"/>
      <c r="G391" s="67"/>
      <c r="H391" s="67"/>
      <c r="I391" s="36">
        <f t="shared" si="1"/>
        <v>0</v>
      </c>
      <c r="J391" s="36"/>
      <c r="K391" s="36"/>
      <c r="L391" s="67"/>
      <c r="M391" s="60"/>
      <c r="N391" s="286" t="s">
        <v>1439</v>
      </c>
      <c r="O391" s="286">
        <v>47</v>
      </c>
      <c r="P391" s="286">
        <v>4</v>
      </c>
      <c r="Q391" s="12"/>
    </row>
    <row r="392" spans="1:17" ht="12.5">
      <c r="A392" s="60" t="s">
        <v>670</v>
      </c>
      <c r="B392" s="287" t="str">
        <f>HYPERLINK("http://codeforces.com/contest/84/problem/C","CF84-D2-C")</f>
        <v>CF84-D2-C</v>
      </c>
      <c r="C392" s="67"/>
      <c r="D392" s="67"/>
      <c r="E392" s="67"/>
      <c r="F392" s="67"/>
      <c r="G392" s="67"/>
      <c r="H392" s="67"/>
      <c r="I392" s="36">
        <f t="shared" si="1"/>
        <v>0</v>
      </c>
      <c r="J392" s="36"/>
      <c r="K392" s="36"/>
      <c r="L392" s="67"/>
      <c r="M392" s="286"/>
      <c r="N392" s="286" t="s">
        <v>1439</v>
      </c>
      <c r="O392" s="286">
        <v>47</v>
      </c>
      <c r="P392" s="286">
        <v>4</v>
      </c>
    </row>
    <row r="393" spans="1:17" ht="12.5">
      <c r="A393" s="60" t="s">
        <v>1070</v>
      </c>
      <c r="B393" s="287" t="str">
        <f>HYPERLINK("https://uva.onlinejudge.org/index.php?option=onlinejudge&amp;page=show_problem&amp;problem=946","UVA 10005")</f>
        <v>UVA 10005</v>
      </c>
      <c r="C393" s="67"/>
      <c r="D393" s="67"/>
      <c r="E393" s="67"/>
      <c r="F393" s="67"/>
      <c r="G393" s="67"/>
      <c r="H393" s="67"/>
      <c r="I393" s="36">
        <f t="shared" si="1"/>
        <v>0</v>
      </c>
      <c r="J393" s="36"/>
      <c r="K393" s="36"/>
      <c r="L393" s="302"/>
      <c r="M393" s="301" t="str">
        <f>HYPERLINK("https://github.com/mostafa-saad/MyCompetitiveProgramming/blob/master/UVA/UVA_10005.txt","Sol")</f>
        <v>Sol</v>
      </c>
      <c r="N393" s="286" t="s">
        <v>1440</v>
      </c>
      <c r="O393" s="286">
        <v>47</v>
      </c>
      <c r="P393" s="286">
        <v>5</v>
      </c>
      <c r="Q393" s="12" t="s">
        <v>1270</v>
      </c>
    </row>
    <row r="394" spans="1:17" ht="12.5">
      <c r="A394" s="60"/>
      <c r="B394" s="60" t="s">
        <v>1074</v>
      </c>
      <c r="C394" s="67"/>
      <c r="D394" s="67"/>
      <c r="E394" s="67"/>
      <c r="F394" s="67"/>
      <c r="G394" s="67"/>
      <c r="H394" s="67"/>
      <c r="I394" s="36">
        <f t="shared" si="1"/>
        <v>0</v>
      </c>
      <c r="J394" s="67"/>
      <c r="K394" s="67"/>
      <c r="L394" s="67"/>
      <c r="M394" s="286"/>
      <c r="N394" s="286" t="s">
        <v>1441</v>
      </c>
      <c r="O394" s="286">
        <v>47</v>
      </c>
      <c r="P394" s="286">
        <v>5</v>
      </c>
      <c r="Q394" s="12" t="s">
        <v>1245</v>
      </c>
    </row>
    <row r="395" spans="1:17" ht="12.5">
      <c r="A395" s="60"/>
      <c r="B395" s="287" t="str">
        <f>HYPERLINK("http://www.spoj.com/problems/ALIENS/","SPOJ ALIENS")</f>
        <v>SPOJ ALIENS</v>
      </c>
      <c r="C395" s="67"/>
      <c r="D395" s="67"/>
      <c r="E395" s="67"/>
      <c r="F395" s="67"/>
      <c r="G395" s="67"/>
      <c r="H395" s="67"/>
      <c r="I395" s="36">
        <f t="shared" si="1"/>
        <v>0</v>
      </c>
      <c r="J395" s="36"/>
      <c r="K395" s="36"/>
      <c r="L395" s="67"/>
      <c r="M395" s="301" t="str">
        <f>HYPERLINK("https://github.com/mostafa-saad/MyCompetitiveProgramming/blob/master/SPOJ/SPOJ_ALIENS.txt","Sol - Practice on min enclosing circle")</f>
        <v>Sol - Practice on min enclosing circle</v>
      </c>
      <c r="N395" s="286" t="s">
        <v>1442</v>
      </c>
      <c r="O395" s="286">
        <v>47</v>
      </c>
      <c r="P395" s="286">
        <v>5</v>
      </c>
      <c r="Q395" s="12" t="s">
        <v>1243</v>
      </c>
    </row>
    <row r="396" spans="1:17" ht="12.5">
      <c r="A396" s="60"/>
      <c r="B396" s="287" t="str">
        <f>HYPERLINK("https://codeforces.com/contest/1059/problem/D","CF1059-D2-D")</f>
        <v>CF1059-D2-D</v>
      </c>
      <c r="C396" s="67"/>
      <c r="D396" s="67"/>
      <c r="E396" s="67"/>
      <c r="F396" s="67"/>
      <c r="G396" s="67"/>
      <c r="H396" s="67"/>
      <c r="I396" s="36">
        <f t="shared" si="1"/>
        <v>0</v>
      </c>
      <c r="J396" s="67"/>
      <c r="K396" s="67"/>
      <c r="L396" s="302"/>
      <c r="M396" s="28"/>
      <c r="N396" s="286" t="s">
        <v>1443</v>
      </c>
      <c r="O396" s="286">
        <v>47</v>
      </c>
      <c r="P396" s="286">
        <v>5.25</v>
      </c>
      <c r="Q396" s="12" t="s">
        <v>1245</v>
      </c>
    </row>
    <row r="397" spans="1:17" ht="12.5">
      <c r="A397" s="60"/>
      <c r="B397" s="287" t="str">
        <f>HYPERLINK("https://www.hackerrank.com/challenges/house-location","HACKR house-location")</f>
        <v>HACKR house-location</v>
      </c>
      <c r="C397" s="67"/>
      <c r="D397" s="67"/>
      <c r="E397" s="67"/>
      <c r="F397" s="67"/>
      <c r="G397" s="67"/>
      <c r="H397" s="67"/>
      <c r="I397" s="36">
        <f t="shared" si="1"/>
        <v>0</v>
      </c>
      <c r="J397" s="67"/>
      <c r="K397" s="67"/>
      <c r="L397" s="67"/>
      <c r="M397" s="216" t="str">
        <f>HYPERLINK("https://github.com/arvindr9/CompetitiveProgramming/blob/master/Hackerrank/HACKR%20house-location.cpp","Sol")</f>
        <v>Sol</v>
      </c>
      <c r="N397" s="286" t="s">
        <v>1444</v>
      </c>
      <c r="O397" s="286">
        <v>47</v>
      </c>
      <c r="P397" s="286">
        <v>5.5</v>
      </c>
      <c r="Q397" s="12" t="s">
        <v>1245</v>
      </c>
    </row>
    <row r="398" spans="1:17" ht="12.5">
      <c r="A398" s="60"/>
      <c r="B398" s="60" t="s">
        <v>1099</v>
      </c>
      <c r="C398" s="67"/>
      <c r="D398" s="67"/>
      <c r="E398" s="67"/>
      <c r="F398" s="67"/>
      <c r="G398" s="67"/>
      <c r="H398" s="67"/>
      <c r="I398" s="36">
        <f t="shared" si="1"/>
        <v>0</v>
      </c>
      <c r="J398" s="67"/>
      <c r="K398" s="67"/>
      <c r="L398" s="67"/>
      <c r="M398" s="301" t="str">
        <f>HYPERLINK("https://github.com/OmarHashim/Competitive-Programming/blob/master/UVA/10180.cpp","Sol")</f>
        <v>Sol</v>
      </c>
      <c r="N398" s="286" t="s">
        <v>1445</v>
      </c>
      <c r="O398" s="286">
        <v>47</v>
      </c>
      <c r="P398" s="286">
        <v>5.5</v>
      </c>
      <c r="Q398" s="12" t="s">
        <v>1243</v>
      </c>
    </row>
    <row r="399" spans="1:17" ht="12.5">
      <c r="A399" s="60" t="s">
        <v>834</v>
      </c>
      <c r="B399" s="287" t="str">
        <f>HYPERLINK("https://uva.onlinejudge.org/index.php?option=onlinejudge&amp;page=show_problem&amp;problem=1204","UVA 10263")</f>
        <v>UVA 10263</v>
      </c>
      <c r="C399" s="67"/>
      <c r="D399" s="67"/>
      <c r="E399" s="67"/>
      <c r="F399" s="67"/>
      <c r="G399" s="67"/>
      <c r="H399" s="67"/>
      <c r="I399" s="36">
        <f t="shared" si="1"/>
        <v>0</v>
      </c>
      <c r="J399" s="36"/>
      <c r="K399" s="36"/>
      <c r="L399" s="67"/>
      <c r="M399" s="290" t="str">
        <f>HYPERLINK("https://github.com/MohamedNabil97/CompetitiveProgramming/blob/master/UVA/10263.cpp","Sol to read")</f>
        <v>Sol to read</v>
      </c>
      <c r="N399" s="286" t="s">
        <v>1446</v>
      </c>
      <c r="O399" s="286">
        <v>48</v>
      </c>
      <c r="P399" s="286">
        <v>3</v>
      </c>
      <c r="Q399" s="12" t="s">
        <v>1245</v>
      </c>
    </row>
    <row r="400" spans="1:17" ht="12.5">
      <c r="A400" s="60" t="s">
        <v>837</v>
      </c>
      <c r="B400" s="287" t="str">
        <f>HYPERLINK("https://uva.onlinejudge.org/index.php?option=com_onlinejudge&amp;Itemid=8&amp;page=show_problem&amp;problem=206","UVA 270")</f>
        <v>UVA 270</v>
      </c>
      <c r="C400" s="67"/>
      <c r="D400" s="67"/>
      <c r="E400" s="67"/>
      <c r="F400" s="67"/>
      <c r="G400" s="67"/>
      <c r="H400" s="67"/>
      <c r="I400" s="36">
        <f t="shared" si="1"/>
        <v>0</v>
      </c>
      <c r="J400" s="36"/>
      <c r="K400" s="36"/>
      <c r="L400" s="67"/>
      <c r="M400" s="165" t="str">
        <f>HYPERLINK("https://www.youtube.com/watch?v=EbB6g4GuNrQ","Video Solution - Eng Mohamed Nasser. Don't Code O(N^3)")</f>
        <v>Video Solution - Eng Mohamed Nasser. Don't Code O(N^3)</v>
      </c>
      <c r="N400" s="286" t="s">
        <v>1447</v>
      </c>
      <c r="O400" s="286">
        <v>48</v>
      </c>
      <c r="P400" s="286">
        <v>3</v>
      </c>
      <c r="Q400" s="12" t="s">
        <v>1245</v>
      </c>
    </row>
    <row r="401" spans="1:17" ht="12.5">
      <c r="A401" s="60" t="s">
        <v>1162</v>
      </c>
      <c r="B401" s="287" t="str">
        <f>HYPERLINK("https://uva.onlinejudge.org/index.php?option=onlinejudge&amp;page=show_problem&amp;problem=2468","UVA 11473")</f>
        <v>UVA 11473</v>
      </c>
      <c r="C401" s="67"/>
      <c r="D401" s="67"/>
      <c r="E401" s="67"/>
      <c r="F401" s="67"/>
      <c r="G401" s="67"/>
      <c r="H401" s="67"/>
      <c r="I401" s="36">
        <f t="shared" si="1"/>
        <v>0</v>
      </c>
      <c r="J401" s="36"/>
      <c r="K401" s="36"/>
      <c r="L401" s="302"/>
      <c r="M401" s="216" t="str">
        <f>HYPERLINK("https://github.com/osamahatem/CompetitiveProgramming/blob/master/UVA/11473%20-%20Campus%20Roads.cpp","Sol")</f>
        <v>Sol</v>
      </c>
      <c r="N401" s="286" t="s">
        <v>1448</v>
      </c>
      <c r="O401" s="286">
        <v>48</v>
      </c>
      <c r="P401" s="286">
        <v>3</v>
      </c>
      <c r="Q401" s="12" t="s">
        <v>1243</v>
      </c>
    </row>
    <row r="402" spans="1:17" ht="12.5">
      <c r="A402" s="60" t="s">
        <v>935</v>
      </c>
      <c r="B402" s="287" t="str">
        <f>HYPERLINK("http://codeforces.com/contest/617/problem/D","CF617-D2-D")</f>
        <v>CF617-D2-D</v>
      </c>
      <c r="C402" s="67"/>
      <c r="D402" s="67"/>
      <c r="E402" s="67"/>
      <c r="F402" s="67"/>
      <c r="G402" s="67"/>
      <c r="H402" s="67"/>
      <c r="I402" s="36">
        <f t="shared" si="1"/>
        <v>0</v>
      </c>
      <c r="J402" s="67"/>
      <c r="K402" s="67"/>
      <c r="L402" s="67"/>
      <c r="M402" s="28"/>
      <c r="N402" s="286" t="s">
        <v>1449</v>
      </c>
      <c r="O402" s="286">
        <v>48</v>
      </c>
      <c r="P402" s="286">
        <v>3</v>
      </c>
    </row>
    <row r="403" spans="1:17" ht="12.5">
      <c r="A403" s="60" t="s">
        <v>810</v>
      </c>
      <c r="B403" s="287" t="str">
        <f>HYPERLINK("https://uva.onlinejudge.org/index.php?option=com_onlinejudge&amp;Itemid=8&amp;page=show_problem&amp;problem=209","UVA 273")</f>
        <v>UVA 273</v>
      </c>
      <c r="C403" s="67"/>
      <c r="D403" s="67"/>
      <c r="E403" s="67"/>
      <c r="F403" s="67"/>
      <c r="G403" s="67"/>
      <c r="H403" s="67"/>
      <c r="I403" s="36">
        <f t="shared" si="1"/>
        <v>0</v>
      </c>
      <c r="J403" s="67"/>
      <c r="K403" s="67"/>
      <c r="L403" s="67"/>
      <c r="M403" s="301" t="str">
        <f>HYPERLINK("https://github.com/MeGaCrazy/CompetitiveProgramming/blob/6c8e6d79950bbe406f56e3b990159810fcca7431/UVA/UVA_273.cpp","Sol")</f>
        <v>Sol</v>
      </c>
      <c r="N403" s="286" t="s">
        <v>1450</v>
      </c>
      <c r="O403" s="286">
        <v>48</v>
      </c>
      <c r="P403" s="286">
        <v>3</v>
      </c>
    </row>
    <row r="404" spans="1:17" ht="12.5">
      <c r="A404" s="60" t="s">
        <v>812</v>
      </c>
      <c r="B404" s="287" t="str">
        <f>HYPERLINK("https://uva.onlinejudge.org/index.php?option=com_onlinejudge&amp;Itemid=8&amp;page=show_problem&amp;problem=2318","UVA 11343")</f>
        <v>UVA 11343</v>
      </c>
      <c r="C404" s="67"/>
      <c r="D404" s="67"/>
      <c r="E404" s="67"/>
      <c r="F404" s="67"/>
      <c r="G404" s="67"/>
      <c r="H404" s="67"/>
      <c r="I404" s="36">
        <f t="shared" si="1"/>
        <v>0</v>
      </c>
      <c r="J404" s="36"/>
      <c r="K404" s="36"/>
      <c r="L404" s="67"/>
      <c r="M404" s="301" t="str">
        <f>HYPERLINK("https://github.com/hosamk92/CompetitiveProgramming/blob/master/UVA/UVA%2011343.cpp","Sol")</f>
        <v>Sol</v>
      </c>
      <c r="N404" s="286" t="s">
        <v>1451</v>
      </c>
      <c r="O404" s="286">
        <v>48</v>
      </c>
      <c r="P404" s="286">
        <v>3</v>
      </c>
    </row>
    <row r="405" spans="1:17" ht="12.5">
      <c r="A405" s="60" t="s">
        <v>459</v>
      </c>
      <c r="B405" s="287" t="str">
        <f>HYPERLINK("https://uva.onlinejudge.org/index.php?option=com_onlinejudge&amp;Itemid=8&amp;page=show_problem&amp;problem=314","UVA 378")</f>
        <v>UVA 378</v>
      </c>
      <c r="C405" s="67"/>
      <c r="D405" s="67"/>
      <c r="E405" s="67"/>
      <c r="F405" s="67"/>
      <c r="G405" s="67"/>
      <c r="H405" s="67"/>
      <c r="I405" s="36">
        <f t="shared" si="1"/>
        <v>0</v>
      </c>
      <c r="J405" s="36"/>
      <c r="K405" s="36"/>
      <c r="L405" s="67"/>
      <c r="M405" s="60"/>
      <c r="N405" s="286" t="s">
        <v>1452</v>
      </c>
      <c r="O405" s="286">
        <v>48</v>
      </c>
      <c r="P405" s="286">
        <v>3.5</v>
      </c>
    </row>
    <row r="406" spans="1:17" ht="12.5">
      <c r="A406" s="60"/>
      <c r="B406" s="60" t="s">
        <v>1097</v>
      </c>
      <c r="C406" s="67"/>
      <c r="D406" s="67"/>
      <c r="E406" s="67"/>
      <c r="F406" s="67"/>
      <c r="G406" s="67"/>
      <c r="H406" s="67"/>
      <c r="I406" s="36">
        <f t="shared" si="1"/>
        <v>0</v>
      </c>
      <c r="J406" s="67"/>
      <c r="K406" s="67"/>
      <c r="L406" s="302"/>
      <c r="M406" s="301" t="str">
        <f>HYPERLINK("https://github.com/AbdelrahmanRamadan/competitive-programming/blob/master/Topcoder/SRM373%20RectangleCrossings.cpp","Sol")</f>
        <v>Sol</v>
      </c>
      <c r="N406" s="286" t="s">
        <v>1453</v>
      </c>
      <c r="O406" s="286">
        <v>48</v>
      </c>
      <c r="P406" s="286">
        <v>4</v>
      </c>
      <c r="Q406" s="12"/>
    </row>
    <row r="407" spans="1:17" ht="12.5">
      <c r="A407" s="60" t="s">
        <v>769</v>
      </c>
      <c r="B407" s="287" t="str">
        <f>HYPERLINK("https://uva.onlinejudge.org/index.php?option=com_onlinejudge&amp;Itemid=8&amp;page=show_problem&amp;problem=807","UVA 866")</f>
        <v>UVA 866</v>
      </c>
      <c r="C407" s="67"/>
      <c r="D407" s="67"/>
      <c r="E407" s="67"/>
      <c r="F407" s="67"/>
      <c r="G407" s="67"/>
      <c r="H407" s="67"/>
      <c r="I407" s="36">
        <f t="shared" si="1"/>
        <v>0</v>
      </c>
      <c r="J407" s="36"/>
      <c r="K407" s="36"/>
      <c r="L407" s="67"/>
      <c r="M407" s="301" t="str">
        <f>HYPERLINK("https://github.com/MeGaCrazy/CompetitiveProgramming/blob/master/UVA/UVA_866.cpp","Sol")</f>
        <v>Sol</v>
      </c>
      <c r="N407" s="286" t="s">
        <v>1451</v>
      </c>
      <c r="O407" s="286">
        <v>48</v>
      </c>
      <c r="P407" s="286">
        <v>4</v>
      </c>
      <c r="Q407" s="12"/>
    </row>
    <row r="408" spans="1:17" ht="12.5">
      <c r="A408" s="60"/>
      <c r="B408" s="60" t="s">
        <v>1096</v>
      </c>
      <c r="C408" s="67"/>
      <c r="D408" s="67"/>
      <c r="E408" s="67"/>
      <c r="F408" s="67"/>
      <c r="G408" s="67"/>
      <c r="H408" s="67"/>
      <c r="I408" s="36">
        <f t="shared" si="1"/>
        <v>0</v>
      </c>
      <c r="J408" s="67"/>
      <c r="K408" s="67"/>
      <c r="L408" s="302"/>
      <c r="M408" s="301" t="str">
        <f>HYPERLINK("https://github.com/AbdelrahmanRamadan/competitive-programming/blob/master/Topcoder/SRM368%20Jumping%20Board.cpp","Sol")</f>
        <v>Sol</v>
      </c>
      <c r="N408" s="286" t="s">
        <v>1454</v>
      </c>
      <c r="O408" s="286">
        <v>48</v>
      </c>
      <c r="P408" s="286">
        <v>4</v>
      </c>
      <c r="Q408" s="12"/>
    </row>
    <row r="409" spans="1:17" ht="12.5">
      <c r="A409" s="60" t="s">
        <v>768</v>
      </c>
      <c r="B409" s="287" t="str">
        <f>HYPERLINK("https://uva.onlinejudge.org/index.php?option=onlinejudge&amp;page=show_problem&amp;problem=678","UVA 737")</f>
        <v>UVA 737</v>
      </c>
      <c r="C409" s="67"/>
      <c r="D409" s="67"/>
      <c r="E409" s="67"/>
      <c r="F409" s="67"/>
      <c r="G409" s="67"/>
      <c r="H409" s="67"/>
      <c r="I409" s="36">
        <f t="shared" si="1"/>
        <v>0</v>
      </c>
      <c r="J409" s="36"/>
      <c r="K409" s="36"/>
      <c r="L409" s="67"/>
      <c r="M409" s="301" t="str">
        <f>HYPERLINK("https://github.com/mostafa-saad/MyCompetitiveProgramming/blob/master/UVA/UVA_737.txt","Sol")</f>
        <v>Sol</v>
      </c>
      <c r="N409" s="286" t="s">
        <v>1451</v>
      </c>
      <c r="O409" s="286">
        <v>48</v>
      </c>
      <c r="P409" s="286">
        <v>4</v>
      </c>
      <c r="Q409" s="12"/>
    </row>
    <row r="410" spans="1:17" ht="12.5">
      <c r="A410" s="60" t="s">
        <v>946</v>
      </c>
      <c r="B410" s="287" t="str">
        <f>HYPERLINK("https://uva.onlinejudge.org/index.php?option=com_onlinejudge&amp;Itemid=8&amp;page=show_problem&amp;problem=774","UVA 833")</f>
        <v>UVA 833</v>
      </c>
      <c r="C410" s="67"/>
      <c r="D410" s="67"/>
      <c r="E410" s="67"/>
      <c r="F410" s="67"/>
      <c r="G410" s="67"/>
      <c r="H410" s="67"/>
      <c r="I410" s="36">
        <f t="shared" si="1"/>
        <v>0</v>
      </c>
      <c r="J410" s="67"/>
      <c r="K410" s="67"/>
      <c r="L410" s="302"/>
      <c r="M410" s="216" t="str">
        <f>HYPERLINK("https://github.com/AbdelrahmanRamadan/competitive-programming/blob/master/Topcoder/SRM368%20Jumping%20Board.cpp","Sol")</f>
        <v>Sol</v>
      </c>
      <c r="N410" s="286" t="s">
        <v>1455</v>
      </c>
      <c r="O410" s="286">
        <v>48</v>
      </c>
      <c r="P410" s="286">
        <v>4</v>
      </c>
      <c r="Q410" s="12" t="s">
        <v>1245</v>
      </c>
    </row>
    <row r="411" spans="1:17" ht="12.5">
      <c r="A411" s="60" t="s">
        <v>677</v>
      </c>
      <c r="B411" s="287" t="str">
        <f>HYPERLINK("https://uva.onlinejudge.org/index.php?option=onlinejudge&amp;page=show_problem&amp;problem=1731","UVA 10790")</f>
        <v>UVA 10790</v>
      </c>
      <c r="C411" s="67"/>
      <c r="D411" s="67"/>
      <c r="E411" s="67"/>
      <c r="F411" s="67"/>
      <c r="G411" s="67"/>
      <c r="H411" s="67"/>
      <c r="I411" s="36">
        <f t="shared" si="1"/>
        <v>0</v>
      </c>
      <c r="J411" s="36"/>
      <c r="K411" s="36"/>
      <c r="L411" s="67"/>
      <c r="M411" s="301" t="str">
        <f>HYPERLINK("https://github.com/MeGaCrazy/CompetitiveProgramming/blob/5b920a5ddab614e30ea12e7e3a7da12267a203ec/UVA/UVA_10790.cpp","Sol")</f>
        <v>Sol</v>
      </c>
      <c r="N411" s="286" t="s">
        <v>1456</v>
      </c>
      <c r="O411" s="286">
        <v>48</v>
      </c>
      <c r="P411" s="286">
        <v>4</v>
      </c>
      <c r="Q411" s="12" t="s">
        <v>1239</v>
      </c>
    </row>
    <row r="412" spans="1:17" ht="12.5">
      <c r="A412" s="60" t="s">
        <v>1094</v>
      </c>
      <c r="B412" s="60" t="s">
        <v>1095</v>
      </c>
      <c r="C412" s="67"/>
      <c r="D412" s="67"/>
      <c r="E412" s="67"/>
      <c r="F412" s="67"/>
      <c r="G412" s="67"/>
      <c r="H412" s="67"/>
      <c r="I412" s="36">
        <f t="shared" si="1"/>
        <v>0</v>
      </c>
      <c r="J412" s="67"/>
      <c r="K412" s="67"/>
      <c r="L412" s="302"/>
      <c r="M412" s="301" t="str">
        <f>HYPERLINK("https://github.com/mostafa-saad/MyCompetitiveProgramming/blob/master/UVA/UVA_10514.txt","Sol")</f>
        <v>Sol</v>
      </c>
      <c r="N412" s="286" t="s">
        <v>1457</v>
      </c>
      <c r="O412" s="286">
        <v>48</v>
      </c>
      <c r="P412" s="286">
        <v>5</v>
      </c>
    </row>
    <row r="413" spans="1:17" ht="12.5">
      <c r="A413" s="287" t="str">
        <f>HYPERLINK("https://community.topcoder.com/stat?c=problem_statement&amp;pm=5923&amp;rd=8075","BestTriangulation")</f>
        <v>BestTriangulation</v>
      </c>
      <c r="B413" s="60" t="s">
        <v>1068</v>
      </c>
      <c r="C413" s="67"/>
      <c r="D413" s="67"/>
      <c r="E413" s="67"/>
      <c r="F413" s="67"/>
      <c r="G413" s="67"/>
      <c r="H413" s="67"/>
      <c r="I413" s="36">
        <f t="shared" si="1"/>
        <v>0</v>
      </c>
      <c r="J413" s="36"/>
      <c r="K413" s="36"/>
      <c r="L413" s="67"/>
      <c r="M413" s="60"/>
      <c r="N413" s="286" t="s">
        <v>1458</v>
      </c>
      <c r="O413" s="286">
        <v>49</v>
      </c>
      <c r="P413" s="286">
        <v>2</v>
      </c>
    </row>
    <row r="414" spans="1:17" ht="12.5">
      <c r="A414" s="60" t="s">
        <v>800</v>
      </c>
      <c r="B414" s="287" t="str">
        <f>HYPERLINK("http://codeforces.com/contest/408/problem/C","CF408-D2-C")</f>
        <v>CF408-D2-C</v>
      </c>
      <c r="C414" s="67"/>
      <c r="D414" s="67"/>
      <c r="E414" s="67"/>
      <c r="F414" s="67"/>
      <c r="G414" s="67"/>
      <c r="H414" s="67"/>
      <c r="I414" s="36">
        <f t="shared" si="1"/>
        <v>0</v>
      </c>
      <c r="J414" s="67"/>
      <c r="K414" s="67"/>
      <c r="L414" s="67"/>
      <c r="M414" s="28"/>
      <c r="N414" s="286" t="s">
        <v>1459</v>
      </c>
      <c r="O414" s="286">
        <v>49</v>
      </c>
      <c r="P414" s="286">
        <v>4</v>
      </c>
    </row>
    <row r="415" spans="1:17" ht="12.5">
      <c r="A415" s="60"/>
      <c r="B415" s="60" t="s">
        <v>1082</v>
      </c>
      <c r="C415" s="67"/>
      <c r="D415" s="67"/>
      <c r="E415" s="67"/>
      <c r="F415" s="67"/>
      <c r="G415" s="67"/>
      <c r="H415" s="67"/>
      <c r="I415" s="36">
        <f t="shared" si="1"/>
        <v>0</v>
      </c>
      <c r="J415" s="36"/>
      <c r="K415" s="36"/>
      <c r="L415" s="302"/>
      <c r="M415" s="301" t="str">
        <f>HYPERLINK("https://github.com/AbdelrahmanRamadan/competitive-programming/blob/master/UVA/11665%20-%20Chinese%20Ink.cpp","Sol")</f>
        <v>Sol</v>
      </c>
      <c r="N415" s="286" t="s">
        <v>1460</v>
      </c>
      <c r="O415" s="286">
        <v>49</v>
      </c>
      <c r="P415" s="286">
        <v>4</v>
      </c>
    </row>
    <row r="416" spans="1:17" ht="12.5">
      <c r="A416" s="60"/>
      <c r="B416" s="60" t="s">
        <v>1083</v>
      </c>
      <c r="C416" s="67"/>
      <c r="D416" s="67"/>
      <c r="E416" s="67"/>
      <c r="F416" s="67"/>
      <c r="G416" s="67"/>
      <c r="H416" s="67"/>
      <c r="I416" s="36">
        <f t="shared" si="1"/>
        <v>0</v>
      </c>
      <c r="J416" s="36"/>
      <c r="K416" s="36"/>
      <c r="L416" s="302"/>
      <c r="M416" s="301" t="str">
        <f>HYPERLINK("https://github.com/AbdelrahmanRamadan/competitive-programming/blob/master/Timus/1599-Winding-Number.cpp","Sol")</f>
        <v>Sol</v>
      </c>
      <c r="N416" s="286" t="s">
        <v>1461</v>
      </c>
      <c r="O416" s="286">
        <v>49</v>
      </c>
      <c r="P416" s="286">
        <v>4.5</v>
      </c>
      <c r="Q416" s="12" t="s">
        <v>1239</v>
      </c>
    </row>
    <row r="417" spans="1:17" ht="12.5">
      <c r="A417" s="60"/>
      <c r="B417" s="60" t="s">
        <v>1081</v>
      </c>
      <c r="C417" s="67"/>
      <c r="D417" s="67"/>
      <c r="E417" s="67"/>
      <c r="F417" s="67"/>
      <c r="G417" s="67"/>
      <c r="H417" s="67"/>
      <c r="I417" s="36">
        <f t="shared" si="1"/>
        <v>0</v>
      </c>
      <c r="J417" s="36"/>
      <c r="K417" s="36"/>
      <c r="L417" s="302"/>
      <c r="M417" s="301" t="str">
        <f>HYPERLINK("https://github.com/mostafa-saad/MyCompetitiveProgramming/blob/master/UVA/UVA_881.txt","Sol")</f>
        <v>Sol</v>
      </c>
      <c r="N417" s="286" t="s">
        <v>1462</v>
      </c>
      <c r="O417" s="286">
        <v>49</v>
      </c>
      <c r="P417" s="286">
        <v>4.5</v>
      </c>
    </row>
    <row r="418" spans="1:17" ht="12.5">
      <c r="A418" s="60"/>
      <c r="B418" s="287" t="str">
        <f>HYPERLINK("http://codeforces.com/contest/340/problem/B","CF340-D2-B")</f>
        <v>CF340-D2-B</v>
      </c>
      <c r="C418" s="67"/>
      <c r="D418" s="67"/>
      <c r="E418" s="67"/>
      <c r="F418" s="67"/>
      <c r="G418" s="67"/>
      <c r="H418" s="67"/>
      <c r="I418" s="36">
        <f t="shared" si="1"/>
        <v>0</v>
      </c>
      <c r="J418" s="36"/>
      <c r="K418" s="36"/>
      <c r="L418" s="67"/>
      <c r="M418" s="60"/>
      <c r="N418" s="286" t="s">
        <v>1463</v>
      </c>
      <c r="O418" s="286">
        <v>49</v>
      </c>
      <c r="P418" s="286">
        <v>5</v>
      </c>
      <c r="Q418" s="12" t="s">
        <v>1243</v>
      </c>
    </row>
    <row r="419" spans="1:17" ht="12.5">
      <c r="A419" s="60" t="s">
        <v>1217</v>
      </c>
      <c r="B419" s="287" t="str">
        <f>HYPERLINK("http://codeforces.com/contest/801/problem/D","CF801-D2-D")</f>
        <v>CF801-D2-D</v>
      </c>
      <c r="C419" s="67"/>
      <c r="D419" s="67"/>
      <c r="E419" s="67"/>
      <c r="F419" s="67"/>
      <c r="G419" s="67"/>
      <c r="H419" s="67"/>
      <c r="I419" s="36">
        <f t="shared" si="1"/>
        <v>0</v>
      </c>
      <c r="J419" s="36"/>
      <c r="K419" s="36"/>
      <c r="L419" s="310"/>
      <c r="M419" s="307" t="str">
        <f>HYPERLINK("https://github.com/MeGaCrazy/CompetitiveProgramming/blob/ff934b5231a55818d401805db5e0caa0720a1fa4/Codeforces/CF801-D2-D.cpp","Sol")</f>
        <v>Sol</v>
      </c>
      <c r="N419" s="286" t="s">
        <v>1464</v>
      </c>
      <c r="O419" s="286">
        <v>49</v>
      </c>
      <c r="P419" s="286">
        <v>5</v>
      </c>
      <c r="Q419" s="12" t="s">
        <v>1243</v>
      </c>
    </row>
    <row r="420" spans="1:17" ht="12.5">
      <c r="A420" s="60" t="s">
        <v>1084</v>
      </c>
      <c r="B420" s="287" t="str">
        <f>HYPERLINK("https://uva.onlinejudge.org/index.php?option=onlinejudge&amp;page=show_problem&amp;problem=73","UVA 137")</f>
        <v>UVA 137</v>
      </c>
      <c r="C420" s="67"/>
      <c r="D420" s="67"/>
      <c r="E420" s="67"/>
      <c r="F420" s="67"/>
      <c r="G420" s="67"/>
      <c r="H420" s="67"/>
      <c r="I420" s="36">
        <f t="shared" si="1"/>
        <v>0</v>
      </c>
      <c r="J420" s="36"/>
      <c r="K420" s="36"/>
      <c r="L420" s="302"/>
      <c r="M420" s="301" t="str">
        <f>HYPERLINK("https://github.com/mostafa-saad/MyCompetitiveProgramming/blob/master/UVA/UVA_137.txt","Sol")</f>
        <v>Sol</v>
      </c>
      <c r="N420" s="286" t="s">
        <v>1465</v>
      </c>
      <c r="O420" s="286">
        <v>49</v>
      </c>
      <c r="P420" s="286">
        <v>5.5</v>
      </c>
      <c r="Q420" s="12" t="s">
        <v>1245</v>
      </c>
    </row>
    <row r="421" spans="1:17" ht="12.5">
      <c r="A421" s="60" t="s">
        <v>1216</v>
      </c>
      <c r="B421" s="287" t="str">
        <f>HYPERLINK("acm.tju.edu.cn/toj/showp1011.html","TJU 1011")</f>
        <v>TJU 1011</v>
      </c>
      <c r="C421" s="67"/>
      <c r="D421" s="67"/>
      <c r="E421" s="67"/>
      <c r="F421" s="67"/>
      <c r="G421" s="67"/>
      <c r="H421" s="67"/>
      <c r="I421" s="36">
        <f t="shared" si="1"/>
        <v>0</v>
      </c>
      <c r="J421" s="36"/>
      <c r="K421" s="36"/>
      <c r="L421" s="302"/>
      <c r="M421" s="301" t="str">
        <f>HYPERLINK("https://github.com/MedoN11/CompetitiveProgramming/blob/master/TJU/1011.cpp","Sol")</f>
        <v>Sol</v>
      </c>
      <c r="N421" s="286" t="s">
        <v>1466</v>
      </c>
      <c r="O421" s="286">
        <v>52</v>
      </c>
      <c r="P421" s="286">
        <v>4.5</v>
      </c>
      <c r="Q421" s="12" t="s">
        <v>1239</v>
      </c>
    </row>
    <row r="422" spans="1:17" ht="12.5">
      <c r="A422" s="60" t="s">
        <v>1069</v>
      </c>
      <c r="B422" s="287" t="str">
        <f>HYPERLINK("https://uva.onlinejudge.org/index.php?option=onlinejudge&amp;page=show_problem&amp;problem=1029","UVA 10088")</f>
        <v>UVA 10088</v>
      </c>
      <c r="C422" s="67"/>
      <c r="D422" s="67"/>
      <c r="E422" s="67"/>
      <c r="F422" s="67"/>
      <c r="G422" s="67"/>
      <c r="H422" s="67"/>
      <c r="I422" s="36">
        <f t="shared" si="1"/>
        <v>0</v>
      </c>
      <c r="J422" s="36"/>
      <c r="K422" s="36"/>
      <c r="L422" s="302"/>
      <c r="M422" s="28"/>
      <c r="N422" s="286" t="s">
        <v>1467</v>
      </c>
      <c r="O422" s="286">
        <v>52</v>
      </c>
      <c r="P422" s="286">
        <v>5</v>
      </c>
    </row>
    <row r="423" spans="1:17" ht="12.5">
      <c r="A423" s="60"/>
      <c r="B423" s="60" t="s">
        <v>1071</v>
      </c>
      <c r="C423" s="67"/>
      <c r="D423" s="67"/>
      <c r="E423" s="67"/>
      <c r="F423" s="67"/>
      <c r="G423" s="67"/>
      <c r="H423" s="67"/>
      <c r="I423" s="36">
        <f t="shared" si="1"/>
        <v>0</v>
      </c>
      <c r="J423" s="36"/>
      <c r="K423" s="36"/>
      <c r="L423" s="302"/>
      <c r="M423" s="301" t="str">
        <f>HYPERLINK("https://github.com/MeGaCrazy/CompetitiveProgramming/blob/c9f4ed6571a135dbc26cfeeb099384a8fec2ff92/LiveArchive/LIVEARCHIVE_2831.cpp","Use polygon cut")</f>
        <v>Use polygon cut</v>
      </c>
      <c r="N423" s="286" t="s">
        <v>1468</v>
      </c>
      <c r="O423" s="286">
        <v>53</v>
      </c>
      <c r="P423" s="286">
        <v>4</v>
      </c>
    </row>
    <row r="424" spans="1:17" ht="12.5">
      <c r="A424" s="60" t="s">
        <v>1072</v>
      </c>
      <c r="B424" s="287" t="str">
        <f>HYPERLINK("https://uva.onlinejudge.org/index.php?option=com_onlinejudge&amp;Itemid=8&amp;page=show_problem&amp;problem=529","UVA 588")</f>
        <v>UVA 588</v>
      </c>
      <c r="C424" s="67"/>
      <c r="D424" s="67"/>
      <c r="E424" s="67"/>
      <c r="F424" s="67"/>
      <c r="G424" s="67"/>
      <c r="H424" s="67"/>
      <c r="I424" s="36">
        <f t="shared" si="1"/>
        <v>0</v>
      </c>
      <c r="J424" s="36"/>
      <c r="K424" s="36"/>
      <c r="L424" s="302"/>
      <c r="M424" s="301" t="str">
        <f>HYPERLINK("https://github.com/mostafa-saad/MyCompetitiveProgramming/blob/master/UVA/588.cpp","Use polygon cut")</f>
        <v>Use polygon cut</v>
      </c>
      <c r="N424" s="286" t="s">
        <v>1469</v>
      </c>
      <c r="O424" s="286">
        <v>53</v>
      </c>
      <c r="P424" s="286">
        <v>6</v>
      </c>
      <c r="Q424" s="12" t="s">
        <v>1248</v>
      </c>
    </row>
    <row r="425" spans="1:17" ht="12.5">
      <c r="A425" s="60" t="s">
        <v>499</v>
      </c>
      <c r="B425" s="287" t="str">
        <f>HYPERLINK("https://uva.onlinejudge.org/index.php?option=com_onlinejudge&amp;Itemid=8&amp;page=show_problem&amp;problem=41","UVA 105")</f>
        <v>UVA 105</v>
      </c>
      <c r="C425" s="67"/>
      <c r="D425" s="67"/>
      <c r="E425" s="67"/>
      <c r="F425" s="67"/>
      <c r="G425" s="67"/>
      <c r="H425" s="67"/>
      <c r="I425" s="36">
        <f t="shared" si="1"/>
        <v>0</v>
      </c>
      <c r="J425" s="36"/>
      <c r="K425" s="36"/>
      <c r="L425" s="67"/>
      <c r="M425" s="28"/>
      <c r="N425" s="286" t="s">
        <v>1470</v>
      </c>
      <c r="O425" s="286"/>
      <c r="P425" s="286">
        <v>3</v>
      </c>
    </row>
    <row r="426" spans="1:17" ht="12.5">
      <c r="A426" s="60" t="s">
        <v>231</v>
      </c>
      <c r="B426" s="287" t="str">
        <f>HYPERLINK("https://uva.onlinejudge.org/index.php?option=onlinejudge&amp;page=show_problem&amp;problem=1393","UVA 10452")</f>
        <v>UVA 10452</v>
      </c>
      <c r="C426" s="67"/>
      <c r="D426" s="67"/>
      <c r="E426" s="67"/>
      <c r="F426" s="67"/>
      <c r="G426" s="67"/>
      <c r="H426" s="67"/>
      <c r="I426" s="36">
        <f t="shared" si="1"/>
        <v>0</v>
      </c>
      <c r="J426" s="67"/>
      <c r="K426" s="36"/>
      <c r="L426" s="67"/>
      <c r="M426" s="296" t="str">
        <f>HYPERLINK("https://www.youtube.com/watch?v=HtaczlDLylk","Video Solution - Eng Ayman Salah")</f>
        <v>Video Solution - Eng Ayman Salah</v>
      </c>
      <c r="N426" s="286" t="s">
        <v>1471</v>
      </c>
      <c r="O426" s="286">
        <v>55</v>
      </c>
      <c r="P426" s="286">
        <v>3</v>
      </c>
    </row>
    <row r="427" spans="1:17" ht="12.5">
      <c r="A427" s="60" t="s">
        <v>476</v>
      </c>
      <c r="B427" s="287" t="str">
        <f>HYPERLINK("https://uva.onlinejudge.org/index.php?option=com_onlinejudge&amp;Itemid=8&amp;page=show_problem&amp;problem=58","UVA 122")</f>
        <v>UVA 122</v>
      </c>
      <c r="C427" s="67"/>
      <c r="D427" s="67"/>
      <c r="E427" s="67"/>
      <c r="F427" s="67"/>
      <c r="G427" s="67"/>
      <c r="H427" s="67"/>
      <c r="I427" s="36">
        <f t="shared" si="1"/>
        <v>0</v>
      </c>
      <c r="J427" s="36"/>
      <c r="K427" s="36"/>
      <c r="L427" s="36"/>
      <c r="M427" s="293" t="str">
        <f>HYPERLINK("https://www.youtube.com/watch?v=b6D-7cqN2jM","Video Solution - SolverToBe (Java)")</f>
        <v>Video Solution - SolverToBe (Java)</v>
      </c>
      <c r="N427" s="286" t="s">
        <v>1472</v>
      </c>
      <c r="O427" s="286">
        <v>55</v>
      </c>
      <c r="P427" s="286">
        <v>3</v>
      </c>
    </row>
    <row r="428" spans="1:17" ht="12.5">
      <c r="A428" s="60" t="s">
        <v>824</v>
      </c>
      <c r="B428" s="287" t="str">
        <f>HYPERLINK("http://www.spoj.com/problems/PT07Z/","SPOJ PT07Z")</f>
        <v>SPOJ PT07Z</v>
      </c>
      <c r="C428" s="67"/>
      <c r="D428" s="67"/>
      <c r="E428" s="67"/>
      <c r="F428" s="67"/>
      <c r="G428" s="67"/>
      <c r="H428" s="67"/>
      <c r="I428" s="36">
        <f t="shared" si="1"/>
        <v>0</v>
      </c>
      <c r="J428" s="36"/>
      <c r="K428" s="36"/>
      <c r="L428" s="67"/>
      <c r="M428" s="301" t="str">
        <f>HYPERLINK("https://github.com/abdullaAshraf/Problem-Solving/blob/master/SPOJ/PT07Z.cpp","Sol")</f>
        <v>Sol</v>
      </c>
      <c r="N428" s="286" t="s">
        <v>1473</v>
      </c>
      <c r="O428" s="286">
        <v>55</v>
      </c>
      <c r="P428" s="286">
        <v>3</v>
      </c>
    </row>
    <row r="429" spans="1:17" ht="12.5">
      <c r="A429" s="60" t="s">
        <v>825</v>
      </c>
      <c r="B429" s="287" t="str">
        <f>HYPERLINK("https://uva.onlinejudge.org/index.php?option=com_onlinejudge&amp;Itemid=8&amp;page=show_problem&amp;problem=1249","UVA 10308")</f>
        <v>UVA 10308</v>
      </c>
      <c r="C429" s="67"/>
      <c r="D429" s="67"/>
      <c r="E429" s="67"/>
      <c r="F429" s="67"/>
      <c r="G429" s="67"/>
      <c r="H429" s="67"/>
      <c r="I429" s="36">
        <f t="shared" si="1"/>
        <v>0</v>
      </c>
      <c r="J429" s="36"/>
      <c r="K429" s="36"/>
      <c r="L429" s="67"/>
      <c r="M429" s="301" t="str">
        <f>HYPERLINK("https://github.com/ilyesG/Competitive-Programming/blob/master/UVA/UVA%2010308.cpp","Sol")</f>
        <v>Sol</v>
      </c>
      <c r="N429" s="286" t="s">
        <v>1473</v>
      </c>
      <c r="O429" s="286">
        <v>55</v>
      </c>
      <c r="P429" s="286">
        <v>3</v>
      </c>
    </row>
    <row r="430" spans="1:17" ht="12.5">
      <c r="A430" s="60"/>
      <c r="B430" s="287" t="str">
        <f>HYPERLINK("https://codeforces.com/contest/1068/problem/C","CF1068-D2-C")</f>
        <v>CF1068-D2-C</v>
      </c>
      <c r="C430" s="67"/>
      <c r="D430" s="67"/>
      <c r="E430" s="67"/>
      <c r="F430" s="67"/>
      <c r="G430" s="67"/>
      <c r="H430" s="67"/>
      <c r="I430" s="36">
        <f t="shared" si="1"/>
        <v>0</v>
      </c>
      <c r="J430" s="36"/>
      <c r="K430" s="36"/>
      <c r="L430" s="67"/>
      <c r="M430" s="28"/>
      <c r="N430" s="286" t="s">
        <v>1474</v>
      </c>
      <c r="O430" s="286">
        <v>55</v>
      </c>
      <c r="P430" s="286">
        <v>4</v>
      </c>
      <c r="Q430" s="12" t="s">
        <v>1243</v>
      </c>
    </row>
    <row r="431" spans="1:17" ht="12.5">
      <c r="A431" s="60" t="s">
        <v>912</v>
      </c>
      <c r="B431" s="287" t="str">
        <f>HYPERLINK("http://codeforces.com/contest/61/problem/D","CF61-D2-D")</f>
        <v>CF61-D2-D</v>
      </c>
      <c r="C431" s="67"/>
      <c r="D431" s="67"/>
      <c r="E431" s="67"/>
      <c r="F431" s="67"/>
      <c r="G431" s="67"/>
      <c r="H431" s="67"/>
      <c r="I431" s="36">
        <f t="shared" si="1"/>
        <v>0</v>
      </c>
      <c r="J431" s="36"/>
      <c r="K431" s="36"/>
      <c r="L431" s="67"/>
      <c r="M431" s="60"/>
      <c r="N431" s="286" t="s">
        <v>1475</v>
      </c>
      <c r="O431" s="286">
        <v>55</v>
      </c>
      <c r="P431" s="286">
        <v>4</v>
      </c>
      <c r="Q431" s="12" t="s">
        <v>1243</v>
      </c>
    </row>
    <row r="432" spans="1:17" ht="12.5">
      <c r="A432" s="60" t="s">
        <v>948</v>
      </c>
      <c r="B432" s="287" t="str">
        <f>HYPERLINK("https://uva.onlinejudge.org/index.php?option=com_onlinejudge&amp;Itemid=8&amp;page=show_problem&amp;problem=556","UVA 615")</f>
        <v>UVA 615</v>
      </c>
      <c r="C432" s="67"/>
      <c r="D432" s="67"/>
      <c r="E432" s="67"/>
      <c r="F432" s="67"/>
      <c r="G432" s="67"/>
      <c r="H432" s="67"/>
      <c r="I432" s="36">
        <f t="shared" si="1"/>
        <v>0</v>
      </c>
      <c r="J432" s="67"/>
      <c r="K432" s="67"/>
      <c r="L432" s="67"/>
      <c r="M432" s="191"/>
      <c r="N432" s="286" t="s">
        <v>1472</v>
      </c>
      <c r="O432" s="286">
        <v>55</v>
      </c>
      <c r="P432" s="286">
        <v>4</v>
      </c>
      <c r="Q432" s="12" t="s">
        <v>1239</v>
      </c>
    </row>
    <row r="433" spans="1:17" ht="12.5">
      <c r="A433" s="60" t="s">
        <v>751</v>
      </c>
      <c r="B433" s="287" t="str">
        <f>HYPERLINK("http://codeforces.com/contest/959/problem/C","CF959-D2-C")</f>
        <v>CF959-D2-C</v>
      </c>
      <c r="C433" s="67"/>
      <c r="D433" s="67"/>
      <c r="E433" s="67"/>
      <c r="F433" s="67"/>
      <c r="G433" s="67"/>
      <c r="H433" s="67"/>
      <c r="I433" s="36">
        <f t="shared" si="1"/>
        <v>0</v>
      </c>
      <c r="J433" s="36"/>
      <c r="K433" s="36"/>
      <c r="L433" s="67"/>
      <c r="M433" s="137" t="str">
        <f>HYPERLINK("https://www.youtube.com/watch?v=bvDYHy9ESnY&amp;","Video Solution - Eng Mohamed Salah")</f>
        <v>Video Solution - Eng Mohamed Salah</v>
      </c>
      <c r="N433" s="286" t="s">
        <v>1476</v>
      </c>
      <c r="O433" s="286">
        <v>55</v>
      </c>
      <c r="P433" s="191">
        <v>4</v>
      </c>
    </row>
    <row r="434" spans="1:17" ht="12.5">
      <c r="A434" s="60" t="s">
        <v>982</v>
      </c>
      <c r="B434" s="287" t="str">
        <f>HYPERLINK("https://uva.onlinejudge.org/index.php?option=onlinejudge&amp;page=show_problem&amp;problem=3801","UVA 12379")</f>
        <v>UVA 12379</v>
      </c>
      <c r="C434" s="67"/>
      <c r="D434" s="67"/>
      <c r="E434" s="67"/>
      <c r="F434" s="67"/>
      <c r="G434" s="67"/>
      <c r="H434" s="67"/>
      <c r="I434" s="36">
        <f t="shared" si="1"/>
        <v>0</v>
      </c>
      <c r="J434" s="67"/>
      <c r="K434" s="67"/>
      <c r="L434" s="67"/>
      <c r="M434" s="216" t="str">
        <f>HYPERLINK("https://github.com/abdullaAshraf/Problem-Solving/blob/master/UVA/12379.cpp","Sol")</f>
        <v>Sol</v>
      </c>
      <c r="N434" s="286" t="s">
        <v>1473</v>
      </c>
      <c r="O434" s="286">
        <v>55</v>
      </c>
      <c r="P434" s="286">
        <v>4</v>
      </c>
    </row>
    <row r="435" spans="1:17" ht="12.5">
      <c r="A435" s="60" t="s">
        <v>1016</v>
      </c>
      <c r="B435" s="287" t="str">
        <f>HYPERLINK("https://uva.onlinejudge.org/index.php?option=onlinejudge&amp;page=show_problem&amp;problem=1400","UVA 10459")</f>
        <v>UVA 10459</v>
      </c>
      <c r="C435" s="67"/>
      <c r="D435" s="67"/>
      <c r="E435" s="67"/>
      <c r="F435" s="67"/>
      <c r="G435" s="67"/>
      <c r="H435" s="67"/>
      <c r="I435" s="36">
        <f t="shared" si="1"/>
        <v>0</v>
      </c>
      <c r="J435" s="36"/>
      <c r="K435" s="36"/>
      <c r="L435" s="67"/>
      <c r="M435" s="301" t="str">
        <f>HYPERLINK("https://github.com/VAMPIER000001/CompetitiveProgramming/blob/master/UVA/V-104/UVA%2010459.Cpp","Sol")</f>
        <v>Sol</v>
      </c>
      <c r="N435" s="286" t="s">
        <v>1473</v>
      </c>
      <c r="O435" s="286">
        <v>55</v>
      </c>
      <c r="P435" s="286">
        <v>4.5</v>
      </c>
      <c r="Q435" s="12" t="s">
        <v>1245</v>
      </c>
    </row>
    <row r="436" spans="1:17" ht="12.5">
      <c r="A436" s="60" t="s">
        <v>762</v>
      </c>
      <c r="B436" s="287" t="str">
        <f>HYPERLINK("http://codeforces.com/contest/430/problem/C","CF430-D2-C")</f>
        <v>CF430-D2-C</v>
      </c>
      <c r="C436" s="67"/>
      <c r="D436" s="67"/>
      <c r="E436" s="67"/>
      <c r="F436" s="67"/>
      <c r="G436" s="67"/>
      <c r="H436" s="67"/>
      <c r="I436" s="36">
        <f t="shared" si="1"/>
        <v>0</v>
      </c>
      <c r="J436" s="36"/>
      <c r="K436" s="36"/>
      <c r="L436" s="67"/>
      <c r="M436" s="60"/>
      <c r="N436" s="286" t="s">
        <v>1477</v>
      </c>
      <c r="O436" s="286">
        <v>55</v>
      </c>
      <c r="P436" s="286">
        <v>5</v>
      </c>
    </row>
    <row r="437" spans="1:17" ht="12.5">
      <c r="A437" s="60" t="s">
        <v>1143</v>
      </c>
      <c r="B437" s="287" t="str">
        <f>HYPERLINK("http://codeforces.com/contest/363/problem/D","CF363-D2-D")</f>
        <v>CF363-D2-D</v>
      </c>
      <c r="C437" s="67"/>
      <c r="D437" s="67"/>
      <c r="E437" s="67"/>
      <c r="F437" s="67"/>
      <c r="G437" s="67"/>
      <c r="H437" s="67"/>
      <c r="I437" s="36">
        <f t="shared" si="1"/>
        <v>0</v>
      </c>
      <c r="J437" s="36"/>
      <c r="K437" s="36"/>
      <c r="L437" s="302"/>
      <c r="M437" s="28"/>
      <c r="N437" s="286" t="s">
        <v>1478</v>
      </c>
      <c r="O437" s="286">
        <v>55</v>
      </c>
      <c r="P437" s="286">
        <v>5</v>
      </c>
    </row>
    <row r="438" spans="1:17" ht="12.5">
      <c r="A438" s="60" t="s">
        <v>1120</v>
      </c>
      <c r="B438" s="287" t="str">
        <f>HYPERLINK("http://codeforces.com/contest/550/problem/D","CF550-D2-D")</f>
        <v>CF550-D2-D</v>
      </c>
      <c r="C438" s="67"/>
      <c r="D438" s="67"/>
      <c r="E438" s="67"/>
      <c r="F438" s="67"/>
      <c r="G438" s="67"/>
      <c r="H438" s="67"/>
      <c r="I438" s="36">
        <f t="shared" si="1"/>
        <v>0</v>
      </c>
      <c r="J438" s="67"/>
      <c r="K438" s="67"/>
      <c r="L438" s="302"/>
      <c r="M438" s="28"/>
      <c r="N438" s="286" t="s">
        <v>1479</v>
      </c>
      <c r="O438" s="286">
        <v>55</v>
      </c>
      <c r="P438" s="286">
        <v>5</v>
      </c>
    </row>
    <row r="439" spans="1:17" ht="12.5">
      <c r="A439" s="60"/>
      <c r="B439" s="287" t="str">
        <f>HYPERLINK("http://codeforces.com/contest/486/problem/D","CF486-D2-D")</f>
        <v>CF486-D2-D</v>
      </c>
      <c r="C439" s="67"/>
      <c r="D439" s="67"/>
      <c r="E439" s="67"/>
      <c r="F439" s="67"/>
      <c r="G439" s="67"/>
      <c r="H439" s="67"/>
      <c r="I439" s="36">
        <f t="shared" si="1"/>
        <v>0</v>
      </c>
      <c r="J439" s="67"/>
      <c r="K439" s="67"/>
      <c r="L439" s="67"/>
      <c r="M439" s="296"/>
      <c r="N439" s="286" t="s">
        <v>1480</v>
      </c>
      <c r="O439" s="286">
        <v>55</v>
      </c>
      <c r="P439" s="286">
        <v>5.5</v>
      </c>
      <c r="Q439" s="12" t="s">
        <v>1248</v>
      </c>
    </row>
    <row r="440" spans="1:17" ht="12.5">
      <c r="A440" s="60" t="s">
        <v>957</v>
      </c>
      <c r="B440" s="287" t="str">
        <f>HYPERLINK("http://codeforces.com/contest/233/problem/C","CF233-D2-C")</f>
        <v>CF233-D2-C</v>
      </c>
      <c r="C440" s="67"/>
      <c r="D440" s="67"/>
      <c r="E440" s="67"/>
      <c r="F440" s="67"/>
      <c r="G440" s="67"/>
      <c r="H440" s="67"/>
      <c r="I440" s="36">
        <f t="shared" si="1"/>
        <v>0</v>
      </c>
      <c r="J440" s="67"/>
      <c r="K440" s="67"/>
      <c r="L440" s="67"/>
      <c r="M440" s="28"/>
      <c r="N440" s="286" t="s">
        <v>1481</v>
      </c>
      <c r="O440" s="286">
        <v>55</v>
      </c>
      <c r="P440" s="286">
        <v>5.5</v>
      </c>
      <c r="Q440" s="12" t="s">
        <v>1245</v>
      </c>
    </row>
    <row r="441" spans="1:17" ht="12.5">
      <c r="A441" s="60"/>
      <c r="B441" s="287" t="str">
        <f>HYPERLINK("http://codeforces.com/contest/459/problem/E","CF459-D2-E")</f>
        <v>CF459-D2-E</v>
      </c>
      <c r="C441" s="67"/>
      <c r="D441" s="67"/>
      <c r="E441" s="67"/>
      <c r="F441" s="67"/>
      <c r="G441" s="67"/>
      <c r="H441" s="67"/>
      <c r="I441" s="36">
        <f t="shared" si="1"/>
        <v>0</v>
      </c>
      <c r="J441" s="36"/>
      <c r="K441" s="36"/>
      <c r="L441" s="67"/>
      <c r="M441" s="191"/>
      <c r="N441" s="286" t="s">
        <v>1482</v>
      </c>
      <c r="O441" s="286">
        <v>55</v>
      </c>
      <c r="P441" s="286">
        <v>5.5</v>
      </c>
      <c r="Q441" s="12" t="s">
        <v>1245</v>
      </c>
    </row>
    <row r="442" spans="1:17" ht="12.5">
      <c r="A442" s="60"/>
      <c r="B442" s="287" t="str">
        <f>HYPERLINK("https://codeforces.com/contest/1060/problem/D","CF1060-D12-D")</f>
        <v>CF1060-D12-D</v>
      </c>
      <c r="C442" s="67"/>
      <c r="D442" s="67"/>
      <c r="E442" s="67"/>
      <c r="F442" s="67"/>
      <c r="G442" s="67"/>
      <c r="H442" s="67"/>
      <c r="I442" s="36">
        <f t="shared" si="1"/>
        <v>0</v>
      </c>
      <c r="J442" s="67"/>
      <c r="K442" s="67"/>
      <c r="L442" s="302"/>
      <c r="M442" s="191"/>
      <c r="N442" s="286" t="s">
        <v>1475</v>
      </c>
      <c r="O442" s="286">
        <v>55</v>
      </c>
      <c r="P442" s="286">
        <v>5.5</v>
      </c>
      <c r="Q442" s="12" t="s">
        <v>1245</v>
      </c>
    </row>
    <row r="443" spans="1:17" ht="12.5">
      <c r="A443" s="60"/>
      <c r="B443" s="60" t="s">
        <v>1204</v>
      </c>
      <c r="C443" s="67"/>
      <c r="D443" s="67"/>
      <c r="E443" s="67"/>
      <c r="F443" s="67"/>
      <c r="G443" s="67"/>
      <c r="H443" s="67"/>
      <c r="I443" s="36">
        <f t="shared" si="1"/>
        <v>0</v>
      </c>
      <c r="J443" s="67"/>
      <c r="K443" s="67"/>
      <c r="L443" s="302"/>
      <c r="M443" s="216" t="str">
        <f>HYPERLINK("https://github.com/jebouin/CompetitiveProgramming/blob/master/UVA/UVA%2010982.cpp","Sol")</f>
        <v>Sol</v>
      </c>
      <c r="N443" s="286" t="s">
        <v>1483</v>
      </c>
      <c r="O443" s="286">
        <v>55</v>
      </c>
      <c r="P443" s="286">
        <v>5.5</v>
      </c>
      <c r="Q443" s="12" t="s">
        <v>1245</v>
      </c>
    </row>
    <row r="444" spans="1:17" ht="12.5">
      <c r="A444" s="60"/>
      <c r="B444" s="287" t="str">
        <f>HYPERLINK("http://codeforces.com/contest/592/problem/D","CF592-D2-D")</f>
        <v>CF592-D2-D</v>
      </c>
      <c r="C444" s="67"/>
      <c r="D444" s="67"/>
      <c r="E444" s="67"/>
      <c r="F444" s="67"/>
      <c r="G444" s="67"/>
      <c r="H444" s="67"/>
      <c r="I444" s="36">
        <f t="shared" si="1"/>
        <v>0</v>
      </c>
      <c r="J444" s="67"/>
      <c r="K444" s="67"/>
      <c r="L444" s="67"/>
      <c r="M444" s="191"/>
      <c r="N444" s="286" t="s">
        <v>1473</v>
      </c>
      <c r="O444" s="286">
        <v>55</v>
      </c>
      <c r="P444" s="286">
        <v>5.5</v>
      </c>
      <c r="Q444" s="12" t="s">
        <v>1245</v>
      </c>
    </row>
    <row r="445" spans="1:17" ht="12.5">
      <c r="A445" s="60" t="s">
        <v>591</v>
      </c>
      <c r="B445" s="287" t="str">
        <f>HYPERLINK("http://www.spoj.com/problems/BITMAP/","SPOJ BITMAP")</f>
        <v>SPOJ BITMAP</v>
      </c>
      <c r="C445" s="67"/>
      <c r="D445" s="67"/>
      <c r="E445" s="67"/>
      <c r="F445" s="67"/>
      <c r="G445" s="67"/>
      <c r="H445" s="67"/>
      <c r="I445" s="36">
        <f t="shared" si="1"/>
        <v>0</v>
      </c>
      <c r="J445" s="67"/>
      <c r="K445" s="67"/>
      <c r="L445" s="67"/>
      <c r="M445" s="147" t="str">
        <f>HYPERLINK("https://github.com/omarkhair/Problems-Editorial/blob/master/SPOJ/Bitmap/Editorial.md","Editorial")</f>
        <v>Editorial</v>
      </c>
      <c r="N445" s="286" t="s">
        <v>1484</v>
      </c>
      <c r="O445" s="286">
        <v>57</v>
      </c>
      <c r="P445" s="286">
        <v>3</v>
      </c>
      <c r="Q445" s="12" t="s">
        <v>1245</v>
      </c>
    </row>
    <row r="446" spans="1:17" ht="12.5">
      <c r="A446" s="60" t="s">
        <v>838</v>
      </c>
      <c r="B446" s="287" t="str">
        <f>HYPERLINK("http://www.spoj.com/problems/POUR1/","SPOJ POUR1")</f>
        <v>SPOJ POUR1</v>
      </c>
      <c r="C446" s="67"/>
      <c r="D446" s="67"/>
      <c r="E446" s="67"/>
      <c r="F446" s="67"/>
      <c r="G446" s="67"/>
      <c r="H446" s="67"/>
      <c r="I446" s="36">
        <f t="shared" si="1"/>
        <v>0</v>
      </c>
      <c r="J446" s="67"/>
      <c r="K446" s="67"/>
      <c r="L446" s="67"/>
      <c r="M446" s="116" t="str">
        <f>HYPERLINK("https://www.youtube.com/watch?v=dMacXPeTyak&amp;feature=youtu.be","Video Solution - Eng Moaz Rashad")</f>
        <v>Video Solution - Eng Moaz Rashad</v>
      </c>
      <c r="N446" s="286" t="s">
        <v>1485</v>
      </c>
      <c r="O446" s="286">
        <v>57</v>
      </c>
      <c r="P446" s="286">
        <v>3</v>
      </c>
    </row>
    <row r="447" spans="1:17" ht="12.5">
      <c r="A447" s="60" t="s">
        <v>755</v>
      </c>
      <c r="B447" s="287" t="str">
        <f>HYPERLINK("https://uva.onlinejudge.org/index.php?option=com_onlinejudge&amp;Itemid=8&amp;page=show_problem&amp;problem=512","UVA 571")</f>
        <v>UVA 571</v>
      </c>
      <c r="C447" s="67"/>
      <c r="D447" s="67"/>
      <c r="E447" s="67"/>
      <c r="F447" s="67"/>
      <c r="G447" s="67"/>
      <c r="H447" s="67"/>
      <c r="I447" s="36">
        <f t="shared" si="1"/>
        <v>0</v>
      </c>
      <c r="J447" s="36"/>
      <c r="K447" s="36"/>
      <c r="L447" s="67"/>
      <c r="M447" s="303" t="str">
        <f>HYPERLINK("https://www.youtube.com/watch?v=y0J3Jznp3kE","Video Solution - Dr Mostafa Saad")</f>
        <v>Video Solution - Dr Mostafa Saad</v>
      </c>
      <c r="N447" s="286" t="s">
        <v>1485</v>
      </c>
      <c r="O447" s="286">
        <v>57</v>
      </c>
      <c r="P447" s="286">
        <v>4</v>
      </c>
      <c r="Q447" s="12" t="s">
        <v>1239</v>
      </c>
    </row>
    <row r="448" spans="1:17" ht="12.5">
      <c r="A448" s="60" t="s">
        <v>422</v>
      </c>
      <c r="B448" s="287" t="str">
        <f>HYPERLINK("http://www.spoj.com/problems/TOE1/","SPOJ TOE1")</f>
        <v>SPOJ TOE1</v>
      </c>
      <c r="C448" s="67"/>
      <c r="D448" s="67"/>
      <c r="E448" s="67"/>
      <c r="F448" s="67"/>
      <c r="G448" s="67"/>
      <c r="H448" s="67"/>
      <c r="I448" s="36">
        <f t="shared" si="1"/>
        <v>0</v>
      </c>
      <c r="J448" s="36"/>
      <c r="K448" s="36"/>
      <c r="L448" s="67"/>
      <c r="M448" s="290" t="str">
        <f>HYPERLINK("https://www.youtube.com/watch?v=VM2c3csK3Ps","Video Solution - Eng Ayman Salah")</f>
        <v>Video Solution - Eng Ayman Salah</v>
      </c>
      <c r="N448" s="286" t="s">
        <v>1485</v>
      </c>
      <c r="O448" s="286">
        <v>57</v>
      </c>
      <c r="P448" s="286">
        <v>4</v>
      </c>
    </row>
    <row r="449" spans="1:17" ht="12.5">
      <c r="A449" s="60" t="s">
        <v>423</v>
      </c>
      <c r="B449" s="287" t="str">
        <f>HYPERLINK("http://www.spoj.com/problems/TOE2/","SPOJ TOE2")</f>
        <v>SPOJ TOE2</v>
      </c>
      <c r="C449" s="67"/>
      <c r="D449" s="67"/>
      <c r="E449" s="67"/>
      <c r="F449" s="67"/>
      <c r="G449" s="67"/>
      <c r="H449" s="67"/>
      <c r="I449" s="36">
        <f t="shared" si="1"/>
        <v>0</v>
      </c>
      <c r="J449" s="36"/>
      <c r="K449" s="36"/>
      <c r="L449" s="67"/>
      <c r="M449" s="290" t="str">
        <f>HYPERLINK("https://www.youtube.com/watch?v=LleR_xaCfMY&amp;feature=youtu.be","Video Solution - Eng Essam AlNaggar")</f>
        <v>Video Solution - Eng Essam AlNaggar</v>
      </c>
      <c r="N449" s="286" t="s">
        <v>1485</v>
      </c>
      <c r="O449" s="286">
        <v>57</v>
      </c>
      <c r="P449" s="286">
        <v>4</v>
      </c>
    </row>
    <row r="450" spans="1:17" ht="12.5">
      <c r="A450" s="60" t="s">
        <v>424</v>
      </c>
      <c r="B450" s="287" t="str">
        <f>HYPERLINK("https://uva.onlinejudge.org/index.php?option=com_onlinejudge&amp;Itemid=8&amp;page=show_problem&amp;problem=380","UVA 439")</f>
        <v>UVA 439</v>
      </c>
      <c r="C450" s="67"/>
      <c r="D450" s="67"/>
      <c r="E450" s="67"/>
      <c r="F450" s="67"/>
      <c r="G450" s="67"/>
      <c r="H450" s="67"/>
      <c r="I450" s="36">
        <f t="shared" si="1"/>
        <v>0</v>
      </c>
      <c r="J450" s="36"/>
      <c r="K450" s="36"/>
      <c r="L450" s="67"/>
      <c r="M450" s="290" t="str">
        <f>HYPERLINK("https://www.youtube.com/watch?v=_S7BCbISrdo&amp;feature=youtu.be","Video Solution - Eng Magdy Hasan")</f>
        <v>Video Solution - Eng Magdy Hasan</v>
      </c>
      <c r="N450" s="286" t="s">
        <v>1486</v>
      </c>
      <c r="O450" s="286">
        <v>57</v>
      </c>
      <c r="P450" s="286">
        <v>4</v>
      </c>
    </row>
    <row r="451" spans="1:17" ht="12.5">
      <c r="A451" s="60" t="s">
        <v>425</v>
      </c>
      <c r="B451" s="287" t="str">
        <f>HYPERLINK("http://codeforces.com/contest/242/problem/C","CF242-D2-C")</f>
        <v>CF242-D2-C</v>
      </c>
      <c r="C451" s="67"/>
      <c r="D451" s="67"/>
      <c r="E451" s="67"/>
      <c r="F451" s="67"/>
      <c r="G451" s="67"/>
      <c r="H451" s="67"/>
      <c r="I451" s="36">
        <f t="shared" si="1"/>
        <v>0</v>
      </c>
      <c r="J451" s="36"/>
      <c r="K451" s="36"/>
      <c r="L451" s="67"/>
      <c r="M451" s="290" t="str">
        <f>HYPERLINK("https://www.youtube.com/watch?v=KmxeOFQ_4Rw","Video Solution - Dr Mostafa Saad")</f>
        <v>Video Solution - Dr Mostafa Saad</v>
      </c>
      <c r="N451" s="286" t="s">
        <v>1485</v>
      </c>
      <c r="O451" s="286">
        <v>57</v>
      </c>
      <c r="P451" s="286">
        <v>4.5</v>
      </c>
      <c r="Q451" s="12"/>
    </row>
    <row r="452" spans="1:17" ht="12.5">
      <c r="A452" s="60" t="s">
        <v>1108</v>
      </c>
      <c r="B452" s="287" t="str">
        <f>HYPERLINK("http://codeforces.com/contest/676/problem/D","CF676-D2-D")</f>
        <v>CF676-D2-D</v>
      </c>
      <c r="C452" s="67"/>
      <c r="D452" s="67"/>
      <c r="E452" s="67"/>
      <c r="F452" s="67"/>
      <c r="G452" s="67"/>
      <c r="H452" s="67"/>
      <c r="I452" s="36">
        <f t="shared" si="1"/>
        <v>0</v>
      </c>
      <c r="J452" s="67"/>
      <c r="K452" s="67"/>
      <c r="L452" s="67"/>
      <c r="M452" s="191"/>
      <c r="N452" s="286" t="s">
        <v>1487</v>
      </c>
      <c r="O452" s="286">
        <v>57</v>
      </c>
      <c r="P452" s="286">
        <v>4.5</v>
      </c>
      <c r="Q452" s="12" t="s">
        <v>1243</v>
      </c>
    </row>
    <row r="453" spans="1:17" ht="12.5">
      <c r="A453" s="60" t="s">
        <v>605</v>
      </c>
      <c r="B453" s="287" t="str">
        <f>HYPERLINK("http://www.spoj.com/problems/QUEEN/","SPOJ QUEEN")</f>
        <v>SPOJ QUEEN</v>
      </c>
      <c r="C453" s="67"/>
      <c r="D453" s="67"/>
      <c r="E453" s="67"/>
      <c r="F453" s="67"/>
      <c r="G453" s="67"/>
      <c r="H453" s="67"/>
      <c r="I453" s="36">
        <f t="shared" si="1"/>
        <v>0</v>
      </c>
      <c r="J453" s="67"/>
      <c r="K453" s="67"/>
      <c r="L453" s="67"/>
      <c r="M453" s="137" t="str">
        <f>HYPERLINK("https://github.com/magdy-hasan/competitive-programming/blob/master/SPOJ/SPOJ%20QUEEN%20-%20Wandering%20Queen.cpp","Sol to read")</f>
        <v>Sol to read</v>
      </c>
      <c r="N453" s="286" t="s">
        <v>1485</v>
      </c>
      <c r="O453" s="286">
        <v>57</v>
      </c>
      <c r="P453" s="286">
        <v>4.5</v>
      </c>
      <c r="Q453" s="12" t="s">
        <v>1239</v>
      </c>
    </row>
    <row r="454" spans="1:17" ht="12.5">
      <c r="A454" s="60" t="s">
        <v>889</v>
      </c>
      <c r="B454" s="287" t="str">
        <f>HYPERLINK("http://codeforces.com/contest/404/problem/C","CF404-D2-C")</f>
        <v>CF404-D2-C</v>
      </c>
      <c r="C454" s="67"/>
      <c r="D454" s="67"/>
      <c r="E454" s="67"/>
      <c r="F454" s="67"/>
      <c r="G454" s="67"/>
      <c r="H454" s="67"/>
      <c r="I454" s="36">
        <f t="shared" si="1"/>
        <v>0</v>
      </c>
      <c r="J454" s="67"/>
      <c r="K454" s="67"/>
      <c r="L454" s="67"/>
      <c r="M454" s="60"/>
      <c r="N454" s="286" t="s">
        <v>1485</v>
      </c>
      <c r="O454" s="286">
        <v>57</v>
      </c>
      <c r="P454" s="286">
        <v>4.5</v>
      </c>
    </row>
    <row r="455" spans="1:17" ht="12.5">
      <c r="A455" s="60" t="s">
        <v>702</v>
      </c>
      <c r="B455" s="287" t="str">
        <f>HYPERLINK("http://www.spoj.com/problems/CERC07K/","SPOJ CERC07K")</f>
        <v>SPOJ CERC07K</v>
      </c>
      <c r="C455" s="67"/>
      <c r="D455" s="67"/>
      <c r="E455" s="67"/>
      <c r="F455" s="67"/>
      <c r="G455" s="67"/>
      <c r="H455" s="67"/>
      <c r="I455" s="36">
        <f t="shared" si="1"/>
        <v>0</v>
      </c>
      <c r="J455" s="67"/>
      <c r="K455" s="67"/>
      <c r="L455" s="67"/>
      <c r="M455" s="286"/>
      <c r="N455" s="286" t="s">
        <v>1488</v>
      </c>
      <c r="O455" s="286">
        <v>57</v>
      </c>
      <c r="P455" s="286">
        <v>4.5</v>
      </c>
    </row>
    <row r="456" spans="1:17" ht="12.5">
      <c r="A456" s="60" t="s">
        <v>703</v>
      </c>
      <c r="B456" s="287" t="str">
        <f>HYPERLINK("http://www.spoj.com/problems/CLEANRBT/","SPOJ CLEANRBT")</f>
        <v>SPOJ CLEANRBT</v>
      </c>
      <c r="C456" s="67"/>
      <c r="D456" s="67"/>
      <c r="E456" s="67"/>
      <c r="F456" s="67"/>
      <c r="G456" s="67"/>
      <c r="H456" s="67"/>
      <c r="I456" s="36">
        <f t="shared" si="1"/>
        <v>0</v>
      </c>
      <c r="J456" s="67"/>
      <c r="K456" s="67"/>
      <c r="L456" s="67"/>
      <c r="M456" s="28"/>
      <c r="N456" s="286" t="s">
        <v>1489</v>
      </c>
      <c r="O456" s="286">
        <v>57</v>
      </c>
      <c r="P456" s="286">
        <v>4.5</v>
      </c>
    </row>
    <row r="457" spans="1:17" ht="12.5">
      <c r="A457" s="60"/>
      <c r="B457" s="60" t="s">
        <v>1025</v>
      </c>
      <c r="C457" s="67"/>
      <c r="D457" s="67"/>
      <c r="E457" s="67"/>
      <c r="F457" s="67"/>
      <c r="G457" s="67"/>
      <c r="H457" s="67"/>
      <c r="I457" s="36">
        <f t="shared" si="1"/>
        <v>0</v>
      </c>
      <c r="J457" s="36"/>
      <c r="K457" s="36"/>
      <c r="L457" s="67"/>
      <c r="M457" s="191"/>
      <c r="N457" s="286" t="s">
        <v>1490</v>
      </c>
      <c r="O457" s="286">
        <v>57</v>
      </c>
      <c r="P457" s="286">
        <v>5</v>
      </c>
      <c r="Q457" s="12" t="s">
        <v>1245</v>
      </c>
    </row>
    <row r="458" spans="1:17" ht="12.5">
      <c r="A458" s="60" t="s">
        <v>666</v>
      </c>
      <c r="B458" s="287" t="str">
        <f>HYPERLINK("http://codeforces.com/contest/253/problem/C","CF253-D2-C")</f>
        <v>CF253-D2-C</v>
      </c>
      <c r="C458" s="67"/>
      <c r="D458" s="67"/>
      <c r="E458" s="67"/>
      <c r="F458" s="67"/>
      <c r="G458" s="67"/>
      <c r="H458" s="67"/>
      <c r="I458" s="36">
        <f t="shared" si="1"/>
        <v>0</v>
      </c>
      <c r="J458" s="36"/>
      <c r="K458" s="36"/>
      <c r="L458" s="67"/>
      <c r="M458" s="60"/>
      <c r="N458" s="286" t="s">
        <v>1491</v>
      </c>
      <c r="O458" s="286">
        <v>57</v>
      </c>
      <c r="P458" s="286">
        <v>5</v>
      </c>
      <c r="Q458" s="12" t="s">
        <v>1243</v>
      </c>
    </row>
    <row r="459" spans="1:17" ht="12.5">
      <c r="A459" s="60" t="s">
        <v>1181</v>
      </c>
      <c r="B459" s="287" t="str">
        <f>HYPERLINK("http://www.spoj.com/problems/ANARC08A/","SPOJ ANARC08A")</f>
        <v>SPOJ ANARC08A</v>
      </c>
      <c r="C459" s="67"/>
      <c r="D459" s="67"/>
      <c r="E459" s="67"/>
      <c r="F459" s="67"/>
      <c r="G459" s="67"/>
      <c r="H459" s="67"/>
      <c r="I459" s="36">
        <f t="shared" si="1"/>
        <v>0</v>
      </c>
      <c r="J459" s="67"/>
      <c r="K459" s="67"/>
      <c r="L459" s="302"/>
      <c r="M459" s="216" t="str">
        <f>HYPERLINK("https://github.com/mostafa-saad/MyCompetitiveProgramming/blob/master/SPOJ/SPOJ_ANARC08A.txt","Sol")</f>
        <v>Sol</v>
      </c>
      <c r="N459" s="286" t="s">
        <v>1492</v>
      </c>
      <c r="O459" s="286">
        <v>57</v>
      </c>
      <c r="P459" s="286">
        <v>5</v>
      </c>
    </row>
    <row r="460" spans="1:17" ht="12.5">
      <c r="A460" s="60"/>
      <c r="B460" s="287" t="str">
        <f>HYPERLINK("http://codeforces.com/contest/1005/problem/F","CF1005-D3-F")</f>
        <v>CF1005-D3-F</v>
      </c>
      <c r="C460" s="67"/>
      <c r="D460" s="67"/>
      <c r="E460" s="67"/>
      <c r="F460" s="67"/>
      <c r="G460" s="67"/>
      <c r="H460" s="67"/>
      <c r="I460" s="36">
        <f t="shared" si="1"/>
        <v>0</v>
      </c>
      <c r="J460" s="67"/>
      <c r="K460" s="67"/>
      <c r="L460" s="67"/>
      <c r="M460" s="28"/>
      <c r="N460" s="286" t="s">
        <v>1485</v>
      </c>
      <c r="O460" s="286">
        <v>57</v>
      </c>
      <c r="P460" s="286">
        <v>5.25</v>
      </c>
      <c r="Q460" s="12" t="s">
        <v>1243</v>
      </c>
    </row>
    <row r="461" spans="1:17" ht="12.5">
      <c r="A461" s="60"/>
      <c r="B461" s="60" t="s">
        <v>1493</v>
      </c>
      <c r="C461" s="67"/>
      <c r="D461" s="67"/>
      <c r="E461" s="67"/>
      <c r="F461" s="67"/>
      <c r="G461" s="67"/>
      <c r="H461" s="67"/>
      <c r="I461" s="36">
        <f t="shared" si="1"/>
        <v>0</v>
      </c>
      <c r="J461" s="36"/>
      <c r="K461" s="36"/>
      <c r="L461" s="67"/>
      <c r="M461" s="286"/>
      <c r="N461" s="286" t="s">
        <v>1494</v>
      </c>
      <c r="O461" s="286">
        <v>57</v>
      </c>
      <c r="P461" s="286">
        <v>5.5</v>
      </c>
      <c r="Q461" s="12" t="s">
        <v>1243</v>
      </c>
    </row>
    <row r="462" spans="1:17" ht="13">
      <c r="A462" s="60"/>
      <c r="B462" s="60" t="s">
        <v>687</v>
      </c>
      <c r="C462" s="67"/>
      <c r="D462" s="67"/>
      <c r="E462" s="67"/>
      <c r="F462" s="67"/>
      <c r="G462" s="67"/>
      <c r="H462" s="67"/>
      <c r="I462" s="36">
        <f t="shared" si="1"/>
        <v>0</v>
      </c>
      <c r="J462" s="36"/>
      <c r="K462" s="36"/>
      <c r="L462" s="67"/>
      <c r="M462" s="311" t="str">
        <f>HYPERLINK("https://www.geeksforgeeks.org/0-1-bfs-shortest-path-binary-graph/","Learn 0/1 BFS")</f>
        <v>Learn 0/1 BFS</v>
      </c>
      <c r="N462" s="286" t="s">
        <v>1495</v>
      </c>
      <c r="O462" s="286">
        <v>57</v>
      </c>
      <c r="P462" s="286">
        <v>5.5</v>
      </c>
      <c r="Q462" s="12" t="s">
        <v>1243</v>
      </c>
    </row>
    <row r="463" spans="1:17" ht="12.5">
      <c r="A463" s="60"/>
      <c r="B463" s="287" t="str">
        <f>HYPERLINK("http://codeforces.com/contest/787/problem/C","CF787-D2-C")</f>
        <v>CF787-D2-C</v>
      </c>
      <c r="C463" s="67"/>
      <c r="D463" s="67"/>
      <c r="E463" s="67"/>
      <c r="F463" s="67"/>
      <c r="G463" s="67"/>
      <c r="H463" s="67"/>
      <c r="I463" s="36">
        <f t="shared" si="1"/>
        <v>0</v>
      </c>
      <c r="J463" s="36"/>
      <c r="K463" s="36"/>
      <c r="L463" s="302"/>
      <c r="M463" s="191"/>
      <c r="N463" s="286" t="s">
        <v>1496</v>
      </c>
      <c r="O463" s="286">
        <v>57</v>
      </c>
      <c r="P463" s="286">
        <v>5.5</v>
      </c>
      <c r="Q463" s="12" t="s">
        <v>1239</v>
      </c>
    </row>
    <row r="464" spans="1:17" ht="12.5">
      <c r="A464" s="60"/>
      <c r="B464" s="287" t="str">
        <f>HYPERLINK("http://codeforces.com/contest/811/problem/D","CF811-D2-D")</f>
        <v>CF811-D2-D</v>
      </c>
      <c r="C464" s="67"/>
      <c r="D464" s="67"/>
      <c r="E464" s="67"/>
      <c r="F464" s="67"/>
      <c r="G464" s="67"/>
      <c r="H464" s="67"/>
      <c r="I464" s="36">
        <f t="shared" si="1"/>
        <v>0</v>
      </c>
      <c r="J464" s="67"/>
      <c r="K464" s="67"/>
      <c r="L464" s="302"/>
      <c r="M464" s="191"/>
      <c r="N464" s="286" t="s">
        <v>1497</v>
      </c>
      <c r="O464" s="286">
        <v>57</v>
      </c>
      <c r="P464" s="286">
        <v>6</v>
      </c>
      <c r="Q464" s="12" t="s">
        <v>1243</v>
      </c>
    </row>
    <row r="465" spans="1:17" ht="12.5">
      <c r="A465" s="60"/>
      <c r="B465" s="60" t="s">
        <v>428</v>
      </c>
      <c r="C465" s="67"/>
      <c r="D465" s="67"/>
      <c r="E465" s="67"/>
      <c r="F465" s="67"/>
      <c r="G465" s="67"/>
      <c r="H465" s="67"/>
      <c r="I465" s="36">
        <f t="shared" si="1"/>
        <v>0</v>
      </c>
      <c r="J465" s="36"/>
      <c r="K465" s="36"/>
      <c r="L465" s="67"/>
      <c r="M465" s="60"/>
      <c r="N465" s="286" t="s">
        <v>1498</v>
      </c>
      <c r="O465" s="286">
        <v>60</v>
      </c>
      <c r="P465" s="286">
        <v>3</v>
      </c>
      <c r="Q465" s="12" t="s">
        <v>1239</v>
      </c>
    </row>
    <row r="466" spans="1:17" ht="12.5">
      <c r="A466" s="60" t="s">
        <v>971</v>
      </c>
      <c r="B466" s="287" t="str">
        <f>HYPERLINK("http://codeforces.com/contest/25/problem/C","CF25-D2-C")</f>
        <v>CF25-D2-C</v>
      </c>
      <c r="C466" s="67"/>
      <c r="D466" s="67"/>
      <c r="E466" s="67"/>
      <c r="F466" s="67"/>
      <c r="G466" s="67"/>
      <c r="H466" s="67"/>
      <c r="I466" s="36">
        <f t="shared" si="1"/>
        <v>0</v>
      </c>
      <c r="J466" s="67"/>
      <c r="K466" s="67"/>
      <c r="L466" s="67"/>
      <c r="M466" s="28"/>
      <c r="N466" s="286" t="s">
        <v>1499</v>
      </c>
      <c r="O466" s="286">
        <v>60</v>
      </c>
      <c r="P466" s="286">
        <v>4</v>
      </c>
      <c r="Q466" s="12" t="s">
        <v>1243</v>
      </c>
    </row>
    <row r="467" spans="1:17" ht="12.5">
      <c r="A467" s="60" t="s">
        <v>955</v>
      </c>
      <c r="B467" s="287" t="str">
        <f>HYPERLINK("http://codeforces.com/contest/116/problem/C","CF116-D2-C")</f>
        <v>CF116-D2-C</v>
      </c>
      <c r="C467" s="67"/>
      <c r="D467" s="67"/>
      <c r="E467" s="67"/>
      <c r="F467" s="67"/>
      <c r="G467" s="67"/>
      <c r="H467" s="67"/>
      <c r="I467" s="36">
        <f t="shared" si="1"/>
        <v>0</v>
      </c>
      <c r="J467" s="67"/>
      <c r="K467" s="67"/>
      <c r="L467" s="67"/>
      <c r="M467" s="28"/>
      <c r="N467" s="286" t="s">
        <v>1499</v>
      </c>
      <c r="O467" s="286">
        <v>60</v>
      </c>
      <c r="P467" s="286">
        <v>4</v>
      </c>
      <c r="Q467" s="12" t="s">
        <v>1239</v>
      </c>
    </row>
    <row r="468" spans="1:17" ht="12.5">
      <c r="A468" s="60" t="s">
        <v>233</v>
      </c>
      <c r="B468" s="287" t="str">
        <f>HYPERLINK("http://codeforces.com/contest/216/problem/B","CF216-D2-B")</f>
        <v>CF216-D2-B</v>
      </c>
      <c r="C468" s="67"/>
      <c r="D468" s="67"/>
      <c r="E468" s="67"/>
      <c r="F468" s="67"/>
      <c r="G468" s="67"/>
      <c r="H468" s="67"/>
      <c r="I468" s="36">
        <f t="shared" si="1"/>
        <v>0</v>
      </c>
      <c r="J468" s="67"/>
      <c r="K468" s="36"/>
      <c r="L468" s="67"/>
      <c r="M468" s="296" t="str">
        <f>HYPERLINK("https://www.youtube.com/watch?v=O4rahDYs9-c","Video Solution - Dr Mostafa Saad")</f>
        <v>Video Solution - Dr Mostafa Saad</v>
      </c>
      <c r="N468" s="286" t="s">
        <v>1499</v>
      </c>
      <c r="O468" s="286">
        <v>60</v>
      </c>
      <c r="P468" s="286">
        <v>4</v>
      </c>
    </row>
    <row r="469" spans="1:17" ht="12.5">
      <c r="A469" s="60" t="s">
        <v>967</v>
      </c>
      <c r="B469" s="287" t="str">
        <f>HYPERLINK("http://codeforces.com/contest/327/problem/D","CF327-D2-D")</f>
        <v>CF327-D2-D</v>
      </c>
      <c r="C469" s="67"/>
      <c r="D469" s="67"/>
      <c r="E469" s="67"/>
      <c r="F469" s="67"/>
      <c r="G469" s="67"/>
      <c r="H469" s="67"/>
      <c r="I469" s="36">
        <f t="shared" si="1"/>
        <v>0</v>
      </c>
      <c r="J469" s="36"/>
      <c r="K469" s="36"/>
      <c r="L469" s="67"/>
      <c r="M469" s="60"/>
      <c r="N469" s="286" t="s">
        <v>1499</v>
      </c>
      <c r="O469" s="286">
        <v>60</v>
      </c>
      <c r="P469" s="286">
        <v>4</v>
      </c>
    </row>
    <row r="470" spans="1:17" ht="12.5">
      <c r="A470" s="60" t="s">
        <v>582</v>
      </c>
      <c r="B470" s="287" t="str">
        <f>HYPERLINK("http://codeforces.com/contest/546/problem/C","CF546-D2-C")</f>
        <v>CF546-D2-C</v>
      </c>
      <c r="C470" s="67"/>
      <c r="D470" s="67"/>
      <c r="E470" s="67"/>
      <c r="F470" s="67"/>
      <c r="G470" s="67"/>
      <c r="H470" s="67"/>
      <c r="I470" s="36">
        <f t="shared" si="1"/>
        <v>0</v>
      </c>
      <c r="J470" s="67"/>
      <c r="K470" s="67"/>
      <c r="L470" s="67"/>
      <c r="M470" s="28"/>
      <c r="N470" s="286" t="s">
        <v>1499</v>
      </c>
      <c r="O470" s="286">
        <v>60</v>
      </c>
      <c r="P470" s="286">
        <v>4</v>
      </c>
    </row>
    <row r="471" spans="1:17" ht="12.5">
      <c r="A471" s="60" t="s">
        <v>610</v>
      </c>
      <c r="B471" s="287" t="str">
        <f>HYPERLINK("http://codeforces.com/contest/580/problem/C","CF580-D2-C")</f>
        <v>CF580-D2-C</v>
      </c>
      <c r="C471" s="67"/>
      <c r="D471" s="67"/>
      <c r="E471" s="67"/>
      <c r="F471" s="67"/>
      <c r="G471" s="67"/>
      <c r="H471" s="67"/>
      <c r="I471" s="36">
        <f t="shared" si="1"/>
        <v>0</v>
      </c>
      <c r="J471" s="36"/>
      <c r="K471" s="36"/>
      <c r="L471" s="67"/>
      <c r="M471" s="290" t="str">
        <f>HYPERLINK("https://www.youtube.com/watch?v=ebC3c-YJDIk","Video Solution - Solver to be (Java)")</f>
        <v>Video Solution - Solver to be (Java)</v>
      </c>
      <c r="N471" s="286" t="s">
        <v>1499</v>
      </c>
      <c r="O471" s="286">
        <v>60</v>
      </c>
      <c r="P471" s="286">
        <v>4</v>
      </c>
      <c r="Q471" s="12" t="s">
        <v>1243</v>
      </c>
    </row>
    <row r="472" spans="1:17" ht="12.5">
      <c r="A472" s="60" t="s">
        <v>649</v>
      </c>
      <c r="B472" s="287" t="str">
        <f>HYPERLINK("http://codeforces.com/contest/378/problem/C","CF378-D2-C")</f>
        <v>CF378-D2-C</v>
      </c>
      <c r="C472" s="67"/>
      <c r="D472" s="67"/>
      <c r="E472" s="67"/>
      <c r="F472" s="67"/>
      <c r="G472" s="67"/>
      <c r="H472" s="67"/>
      <c r="I472" s="36">
        <f t="shared" si="1"/>
        <v>0</v>
      </c>
      <c r="J472" s="36"/>
      <c r="K472" s="36"/>
      <c r="L472" s="67"/>
      <c r="M472" s="60"/>
      <c r="N472" s="286" t="s">
        <v>1500</v>
      </c>
      <c r="O472" s="286">
        <v>60</v>
      </c>
      <c r="P472" s="286">
        <v>4.5</v>
      </c>
      <c r="Q472" s="12" t="s">
        <v>1239</v>
      </c>
    </row>
    <row r="473" spans="1:17" ht="12.5">
      <c r="A473" s="60" t="s">
        <v>979</v>
      </c>
      <c r="B473" s="287" t="str">
        <f>HYPERLINK("https://uva.onlinejudge.org/index.php?option=onlinejudge&amp;page=show_problem&amp;problem=1054","UVA 10113")</f>
        <v>UVA 10113</v>
      </c>
      <c r="C473" s="67"/>
      <c r="D473" s="67"/>
      <c r="E473" s="67"/>
      <c r="F473" s="67"/>
      <c r="G473" s="67"/>
      <c r="H473" s="67"/>
      <c r="I473" s="36">
        <f t="shared" si="1"/>
        <v>0</v>
      </c>
      <c r="J473" s="67"/>
      <c r="K473" s="67"/>
      <c r="L473" s="67"/>
      <c r="M473" s="28"/>
      <c r="N473" s="286" t="s">
        <v>1501</v>
      </c>
      <c r="O473" s="286">
        <v>60</v>
      </c>
      <c r="P473" s="286">
        <v>4.5</v>
      </c>
      <c r="Q473" s="12" t="s">
        <v>1239</v>
      </c>
    </row>
    <row r="474" spans="1:17" ht="12.5">
      <c r="A474" s="60" t="s">
        <v>1050</v>
      </c>
      <c r="B474" s="287" t="str">
        <f>HYPERLINK("http://codeforces.com/contest/540/problem/C","CF540-D2-C")</f>
        <v>CF540-D2-C</v>
      </c>
      <c r="C474" s="67"/>
      <c r="D474" s="67"/>
      <c r="E474" s="67"/>
      <c r="F474" s="67"/>
      <c r="G474" s="67"/>
      <c r="H474" s="67"/>
      <c r="I474" s="36">
        <f t="shared" si="1"/>
        <v>0</v>
      </c>
      <c r="J474" s="67"/>
      <c r="K474" s="67"/>
      <c r="L474" s="67"/>
      <c r="M474" s="28"/>
      <c r="N474" s="286" t="s">
        <v>1499</v>
      </c>
      <c r="O474" s="286">
        <v>60</v>
      </c>
      <c r="P474" s="286">
        <v>4.5</v>
      </c>
    </row>
    <row r="475" spans="1:17" ht="12.5">
      <c r="A475" s="60" t="s">
        <v>759</v>
      </c>
      <c r="B475" s="287" t="str">
        <f>HYPERLINK("https://uva.onlinejudge.org/index.php?option=onlinejudge&amp;page=show_problem&amp;problem=813","UVA 872")</f>
        <v>UVA 872</v>
      </c>
      <c r="C475" s="67"/>
      <c r="D475" s="67"/>
      <c r="E475" s="67"/>
      <c r="F475" s="67"/>
      <c r="G475" s="67"/>
      <c r="H475" s="67"/>
      <c r="I475" s="36">
        <f t="shared" si="1"/>
        <v>0</v>
      </c>
      <c r="J475" s="67"/>
      <c r="K475" s="67"/>
      <c r="L475" s="67"/>
      <c r="M475" s="134" t="s">
        <v>632</v>
      </c>
      <c r="N475" s="286" t="s">
        <v>1499</v>
      </c>
      <c r="O475" s="286">
        <v>60</v>
      </c>
      <c r="P475" s="286">
        <v>4.5</v>
      </c>
    </row>
    <row r="476" spans="1:17" ht="12.5">
      <c r="A476" s="60" t="s">
        <v>966</v>
      </c>
      <c r="B476" s="287" t="str">
        <f>HYPERLINK("http://codeforces.com/contest/711/problem/D","CF711-D2-D")</f>
        <v>CF711-D2-D</v>
      </c>
      <c r="C476" s="67"/>
      <c r="D476" s="67"/>
      <c r="E476" s="67"/>
      <c r="F476" s="67"/>
      <c r="G476" s="67"/>
      <c r="H476" s="67"/>
      <c r="I476" s="36">
        <f t="shared" si="1"/>
        <v>0</v>
      </c>
      <c r="J476" s="36"/>
      <c r="K476" s="36"/>
      <c r="L476" s="67"/>
      <c r="M476" s="60"/>
      <c r="N476" s="286" t="s">
        <v>1502</v>
      </c>
      <c r="O476" s="286">
        <v>60</v>
      </c>
      <c r="P476" s="286">
        <v>5</v>
      </c>
      <c r="Q476" s="12" t="s">
        <v>1245</v>
      </c>
    </row>
    <row r="477" spans="1:17" ht="12.5">
      <c r="A477" s="60"/>
      <c r="B477" s="60" t="s">
        <v>936</v>
      </c>
      <c r="C477" s="67"/>
      <c r="D477" s="67"/>
      <c r="E477" s="67"/>
      <c r="F477" s="67"/>
      <c r="G477" s="67"/>
      <c r="H477" s="67"/>
      <c r="I477" s="36">
        <f t="shared" si="1"/>
        <v>0</v>
      </c>
      <c r="J477" s="67"/>
      <c r="K477" s="67"/>
      <c r="L477" s="67"/>
      <c r="M477" s="300" t="str">
        <f>HYPERLINK("https://github.com/MNT95/Competitive-Programming/blob/master/SPOJ/BIA.cpp?fbclid=IwAR1xR9CTVVj2L_Hr-1m5uIqAFHRc8Bh78z11v46sPyVjHwHeE3MvPrcMbn8","Sol")</f>
        <v>Sol</v>
      </c>
      <c r="N477" s="286" t="s">
        <v>1503</v>
      </c>
      <c r="O477" s="286">
        <v>60</v>
      </c>
      <c r="P477" s="286">
        <v>5</v>
      </c>
      <c r="Q477" s="12" t="s">
        <v>1243</v>
      </c>
    </row>
    <row r="478" spans="1:17" ht="12.5">
      <c r="A478" s="60" t="s">
        <v>1061</v>
      </c>
      <c r="B478" s="287" t="str">
        <f>HYPERLINK("http://codeforces.com/contest/219/problem/D","CF219-D2-D")</f>
        <v>CF219-D2-D</v>
      </c>
      <c r="C478" s="67"/>
      <c r="D478" s="67"/>
      <c r="E478" s="67"/>
      <c r="F478" s="67"/>
      <c r="G478" s="67"/>
      <c r="H478" s="67"/>
      <c r="I478" s="36">
        <f t="shared" si="1"/>
        <v>0</v>
      </c>
      <c r="J478" s="67"/>
      <c r="K478" s="67"/>
      <c r="L478" s="302"/>
      <c r="M478" s="286"/>
      <c r="N478" s="286" t="s">
        <v>1504</v>
      </c>
      <c r="O478" s="286">
        <v>60</v>
      </c>
      <c r="P478" s="286">
        <v>5</v>
      </c>
    </row>
    <row r="479" spans="1:17" ht="12.5">
      <c r="A479" s="60"/>
      <c r="B479" s="287" t="str">
        <f>HYPERLINK("http://codeforces.com/contest/1075/problem/D","CF1075-D2-D")</f>
        <v>CF1075-D2-D</v>
      </c>
      <c r="C479" s="67"/>
      <c r="D479" s="67"/>
      <c r="E479" s="67"/>
      <c r="F479" s="67"/>
      <c r="G479" s="67"/>
      <c r="H479" s="67"/>
      <c r="I479" s="36">
        <f t="shared" si="1"/>
        <v>0</v>
      </c>
      <c r="J479" s="67"/>
      <c r="K479" s="67"/>
      <c r="L479" s="67"/>
      <c r="M479" s="28"/>
      <c r="N479" s="286" t="s">
        <v>1505</v>
      </c>
      <c r="O479" s="286">
        <v>60</v>
      </c>
      <c r="P479" s="286">
        <v>5.5</v>
      </c>
      <c r="Q479" s="12" t="s">
        <v>1245</v>
      </c>
    </row>
    <row r="480" spans="1:17" ht="12.5">
      <c r="A480" s="60" t="s">
        <v>1222</v>
      </c>
      <c r="B480" s="287" t="str">
        <f>HYPERLINK("http://codeforces.com/contest/197/problem/D","CF197-D2-D")</f>
        <v>CF197-D2-D</v>
      </c>
      <c r="C480" s="67"/>
      <c r="D480" s="67"/>
      <c r="E480" s="67"/>
      <c r="F480" s="67"/>
      <c r="G480" s="67"/>
      <c r="H480" s="67"/>
      <c r="I480" s="36">
        <f t="shared" si="1"/>
        <v>0</v>
      </c>
      <c r="J480" s="36"/>
      <c r="K480" s="36"/>
      <c r="L480" s="67"/>
      <c r="M480" s="60"/>
      <c r="N480" s="286" t="s">
        <v>1499</v>
      </c>
      <c r="O480" s="286">
        <v>60</v>
      </c>
      <c r="P480" s="286">
        <v>5.5</v>
      </c>
    </row>
    <row r="481" spans="1:17" ht="12.5">
      <c r="A481" s="60" t="s">
        <v>1063</v>
      </c>
      <c r="B481" s="287" t="str">
        <f>HYPERLINK("http://codeforces.com/contest/263/problem/D","CF263-D2-D")</f>
        <v>CF263-D2-D</v>
      </c>
      <c r="C481" s="67"/>
      <c r="D481" s="67"/>
      <c r="E481" s="67"/>
      <c r="F481" s="67"/>
      <c r="G481" s="67"/>
      <c r="H481" s="67"/>
      <c r="I481" s="36">
        <f t="shared" si="1"/>
        <v>0</v>
      </c>
      <c r="J481" s="67"/>
      <c r="K481" s="67"/>
      <c r="L481" s="67"/>
      <c r="M481" s="60"/>
      <c r="N481" s="286" t="s">
        <v>1499</v>
      </c>
      <c r="O481" s="286">
        <v>60</v>
      </c>
      <c r="P481" s="286">
        <v>5.5</v>
      </c>
    </row>
    <row r="482" spans="1:17" ht="12.5">
      <c r="A482" s="60" t="s">
        <v>1174</v>
      </c>
      <c r="B482" s="287" t="str">
        <f>HYPERLINK("http://codeforces.com/contest/237/problem/D","CF237-D2-D")</f>
        <v>CF237-D2-D</v>
      </c>
      <c r="C482" s="67"/>
      <c r="D482" s="67"/>
      <c r="E482" s="67"/>
      <c r="F482" s="67"/>
      <c r="G482" s="67"/>
      <c r="H482" s="67"/>
      <c r="I482" s="36">
        <f t="shared" si="1"/>
        <v>0</v>
      </c>
      <c r="J482" s="36"/>
      <c r="K482" s="36"/>
      <c r="L482" s="302"/>
      <c r="M482" s="28"/>
      <c r="N482" s="286" t="s">
        <v>1506</v>
      </c>
      <c r="O482" s="286">
        <v>60</v>
      </c>
      <c r="P482" s="286">
        <v>5.5</v>
      </c>
    </row>
    <row r="483" spans="1:17" ht="12.5">
      <c r="A483" s="60" t="s">
        <v>879</v>
      </c>
      <c r="B483" s="287" t="str">
        <f>HYPERLINK("https://uva.onlinejudge.org/index.php?option=com_onlinejudge&amp;Itemid=8&amp;page=show_problem&amp;problem=648","UVA 707")</f>
        <v>UVA 707</v>
      </c>
      <c r="C483" s="67"/>
      <c r="D483" s="67"/>
      <c r="E483" s="67"/>
      <c r="F483" s="67"/>
      <c r="G483" s="67"/>
      <c r="H483" s="67"/>
      <c r="I483" s="36">
        <f t="shared" si="1"/>
        <v>0</v>
      </c>
      <c r="J483" s="36"/>
      <c r="K483" s="36"/>
      <c r="L483" s="67"/>
      <c r="M483" s="301" t="str">
        <f>HYPERLINK("https://github.com/VAMPIER000001/CompetitiveProgramming/blob/master/UVA/V-7/UVA%20707.Cpp","Sol")</f>
        <v>Sol</v>
      </c>
      <c r="N483" s="286" t="s">
        <v>1507</v>
      </c>
      <c r="O483" s="286">
        <v>60</v>
      </c>
      <c r="P483" s="286">
        <v>5.75</v>
      </c>
    </row>
    <row r="484" spans="1:17" ht="12.5">
      <c r="A484" s="60" t="s">
        <v>1119</v>
      </c>
      <c r="B484" s="287" t="str">
        <f>HYPERLINK("http://codeforces.com/contest/707/problem/D","CF707-D2-D")</f>
        <v>CF707-D2-D</v>
      </c>
      <c r="C484" s="67"/>
      <c r="D484" s="67"/>
      <c r="E484" s="67"/>
      <c r="F484" s="67"/>
      <c r="G484" s="67"/>
      <c r="H484" s="67"/>
      <c r="I484" s="36">
        <f t="shared" si="1"/>
        <v>0</v>
      </c>
      <c r="J484" s="36"/>
      <c r="K484" s="36"/>
      <c r="L484" s="302"/>
      <c r="M484" s="216" t="str">
        <f>HYPERLINK("https://github.com/AbdelrahmanRamadan/competitive-programming/blob/master/Codeforces/CF707-D2-D.cpp","Sol")</f>
        <v>Sol</v>
      </c>
      <c r="N484" s="286" t="s">
        <v>1508</v>
      </c>
      <c r="O484" s="286">
        <v>60</v>
      </c>
      <c r="P484" s="286">
        <v>6</v>
      </c>
      <c r="Q484" s="12" t="s">
        <v>1245</v>
      </c>
    </row>
    <row r="485" spans="1:17" ht="12.5">
      <c r="A485" s="60" t="s">
        <v>1199</v>
      </c>
      <c r="B485" s="287" t="str">
        <f>HYPERLINK("http://codeforces.com/contest/604/problem/D","CF604-D2-D")</f>
        <v>CF604-D2-D</v>
      </c>
      <c r="C485" s="67"/>
      <c r="D485" s="67"/>
      <c r="E485" s="67"/>
      <c r="F485" s="67"/>
      <c r="G485" s="67"/>
      <c r="H485" s="67"/>
      <c r="I485" s="36">
        <f t="shared" si="1"/>
        <v>0</v>
      </c>
      <c r="J485" s="67"/>
      <c r="K485" s="67"/>
      <c r="L485" s="302"/>
      <c r="M485" s="216" t="str">
        <f>HYPERLINK("https://github.com/MohamedNabil97/CompetitiveProgramming/blob/master/CodeForces/CF604-D2-D.cpp","Sol")</f>
        <v>Sol</v>
      </c>
      <c r="N485" s="286" t="s">
        <v>1509</v>
      </c>
      <c r="O485" s="286">
        <v>60</v>
      </c>
      <c r="P485" s="286">
        <v>6</v>
      </c>
      <c r="Q485" s="12" t="s">
        <v>1243</v>
      </c>
    </row>
    <row r="486" spans="1:17" ht="12.5">
      <c r="A486" s="60" t="s">
        <v>230</v>
      </c>
      <c r="B486" s="287" t="str">
        <f>HYPERLINK("https://uva.onlinejudge.org/index.php?option=onlinejudge&amp;page=show_problem&amp;problem=288","UVA 352")</f>
        <v>UVA 352</v>
      </c>
      <c r="C486" s="67"/>
      <c r="D486" s="67"/>
      <c r="E486" s="67"/>
      <c r="F486" s="67"/>
      <c r="G486" s="67"/>
      <c r="H486" s="67"/>
      <c r="I486" s="36">
        <f t="shared" si="1"/>
        <v>0</v>
      </c>
      <c r="J486" s="67"/>
      <c r="K486" s="36"/>
      <c r="L486" s="67"/>
      <c r="M486" s="296" t="str">
        <f>HYPERLINK("https://www.youtube.com/watch?v=-nRiMjHEIUg","Video Solution - Eng Mohamed Nasser")</f>
        <v>Video Solution - Eng Mohamed Nasser</v>
      </c>
      <c r="N486" s="286" t="s">
        <v>1510</v>
      </c>
      <c r="O486" s="286">
        <v>61</v>
      </c>
      <c r="P486" s="286">
        <v>2</v>
      </c>
    </row>
    <row r="487" spans="1:17" ht="12.5">
      <c r="A487" s="60" t="s">
        <v>232</v>
      </c>
      <c r="B487" s="287" t="str">
        <f>HYPERLINK("https://uva.onlinejudge.org/index.php?option=com_onlinejudge&amp;Itemid=8&amp;page=show_problem&amp;problem=3104","UVA 11953")</f>
        <v>UVA 11953</v>
      </c>
      <c r="C487" s="67"/>
      <c r="D487" s="67"/>
      <c r="E487" s="67"/>
      <c r="F487" s="67"/>
      <c r="G487" s="67"/>
      <c r="H487" s="67"/>
      <c r="I487" s="36">
        <f t="shared" si="1"/>
        <v>0</v>
      </c>
      <c r="J487" s="67"/>
      <c r="K487" s="36"/>
      <c r="L487" s="67"/>
      <c r="M487" s="296" t="str">
        <f>HYPERLINK("https://www.youtube.com/watch?v=nvPucDrmErI","Video Solution - Eng Aya Elymany")</f>
        <v>Video Solution - Eng Aya Elymany</v>
      </c>
      <c r="N487" s="286" t="s">
        <v>1510</v>
      </c>
      <c r="O487" s="286">
        <v>61</v>
      </c>
      <c r="P487" s="286">
        <v>3.5</v>
      </c>
    </row>
    <row r="488" spans="1:17" ht="12.5">
      <c r="A488" s="60" t="s">
        <v>501</v>
      </c>
      <c r="B488" s="287" t="str">
        <f>HYPERLINK("https://uva.onlinejudge.org/index.php?option=onlinejudge&amp;page=show_problem&amp;problem=725","UVA 784")</f>
        <v>UVA 784</v>
      </c>
      <c r="C488" s="67"/>
      <c r="D488" s="67"/>
      <c r="E488" s="67"/>
      <c r="F488" s="67"/>
      <c r="G488" s="67"/>
      <c r="H488" s="67"/>
      <c r="I488" s="36">
        <f t="shared" si="1"/>
        <v>0</v>
      </c>
      <c r="J488" s="36"/>
      <c r="K488" s="36"/>
      <c r="L488" s="67"/>
      <c r="M488" s="137" t="str">
        <f>HYPERLINK("https://www.youtube.com/watch?v=khOAL6TflhE&amp;feature=youtu.be","Video Solution - Eng Mahmoud Adel")</f>
        <v>Video Solution - Eng Mahmoud Adel</v>
      </c>
      <c r="N488" s="286" t="s">
        <v>1510</v>
      </c>
      <c r="O488" s="286">
        <v>61</v>
      </c>
      <c r="P488" s="286">
        <v>3.5</v>
      </c>
    </row>
    <row r="489" spans="1:17" ht="12.5">
      <c r="A489" s="60" t="s">
        <v>445</v>
      </c>
      <c r="B489" s="287" t="str">
        <f>HYPERLINK("https://uva.onlinejudge.org/index.php?option=onlinejudge&amp;page=show_problem&amp;problem=2035","UVA 11094")</f>
        <v>UVA 11094</v>
      </c>
      <c r="C489" s="67"/>
      <c r="D489" s="67"/>
      <c r="E489" s="67"/>
      <c r="F489" s="67"/>
      <c r="G489" s="67"/>
      <c r="H489" s="67"/>
      <c r="I489" s="36">
        <f t="shared" si="1"/>
        <v>0</v>
      </c>
      <c r="J489" s="36"/>
      <c r="K489" s="36"/>
      <c r="L489" s="67"/>
      <c r="M489" s="290" t="str">
        <f>HYPERLINK("https://www.youtube.com/watch?v=vLuFqaQ40RI","Video Solution - Eng Ayman Salah")</f>
        <v>Video Solution - Eng Ayman Salah</v>
      </c>
      <c r="N489" s="286" t="s">
        <v>1510</v>
      </c>
      <c r="O489" s="286">
        <v>61</v>
      </c>
      <c r="P489" s="286">
        <v>4</v>
      </c>
    </row>
    <row r="490" spans="1:17" ht="12.5">
      <c r="A490" s="60"/>
      <c r="B490" s="60" t="s">
        <v>908</v>
      </c>
      <c r="C490" s="67"/>
      <c r="D490" s="67"/>
      <c r="E490" s="67"/>
      <c r="F490" s="67"/>
      <c r="G490" s="67"/>
      <c r="H490" s="67"/>
      <c r="I490" s="36">
        <f t="shared" si="1"/>
        <v>0</v>
      </c>
      <c r="J490" s="36"/>
      <c r="K490" s="36"/>
      <c r="L490" s="67"/>
      <c r="M490" s="60"/>
      <c r="N490" s="286" t="s">
        <v>1511</v>
      </c>
      <c r="O490" s="286">
        <v>61</v>
      </c>
      <c r="P490" s="286">
        <v>5</v>
      </c>
      <c r="Q490" s="12" t="s">
        <v>1245</v>
      </c>
    </row>
    <row r="491" spans="1:17" ht="12.5">
      <c r="A491" s="60" t="s">
        <v>1004</v>
      </c>
      <c r="B491" s="287" t="str">
        <f>HYPERLINK("http://codeforces.com/contest/560/problem/D","CF560-D2-D")</f>
        <v>CF560-D2-D</v>
      </c>
      <c r="C491" s="67"/>
      <c r="D491" s="67"/>
      <c r="E491" s="67"/>
      <c r="F491" s="67"/>
      <c r="G491" s="67"/>
      <c r="H491" s="67"/>
      <c r="I491" s="36">
        <f t="shared" si="1"/>
        <v>0</v>
      </c>
      <c r="J491" s="36"/>
      <c r="K491" s="36"/>
      <c r="L491" s="302"/>
      <c r="M491" s="301" t="str">
        <f>HYPERLINK("https://github.com/VAMPIER000001/CompetitiveProgramming/blob/6ffe2c80fe5aba2bf2d901503b96f1b90053462a/CF/CF560-D2-D(2).Cpp","Sol to learn")</f>
        <v>Sol to learn</v>
      </c>
      <c r="N491" s="286" t="s">
        <v>1512</v>
      </c>
      <c r="O491" s="286">
        <v>62</v>
      </c>
      <c r="P491" s="286">
        <v>4</v>
      </c>
      <c r="Q491" s="12" t="s">
        <v>1243</v>
      </c>
    </row>
    <row r="492" spans="1:17" ht="12.5">
      <c r="A492" s="60" t="s">
        <v>826</v>
      </c>
      <c r="B492" s="287" t="str">
        <f>HYPERLINK("https://icpcarchive.ecs.baylor.edu/index.php?option=com_onlinejudge&amp;Itemid=8&amp;page=show_problem&amp;problem=936","LIVEARCHIVE 2935")</f>
        <v>LIVEARCHIVE 2935</v>
      </c>
      <c r="C492" s="67"/>
      <c r="D492" s="67"/>
      <c r="E492" s="67"/>
      <c r="F492" s="67"/>
      <c r="G492" s="67"/>
      <c r="H492" s="67"/>
      <c r="I492" s="36">
        <f t="shared" si="1"/>
        <v>0</v>
      </c>
      <c r="J492" s="36"/>
      <c r="K492" s="36"/>
      <c r="L492" s="67"/>
      <c r="M492" s="301" t="str">
        <f>HYPERLINK("https://github.com/mostafa-saad/MyCompetitiveProgramming/blob/master/LiveArchive/LiveArchive_2935.txt","Sol")</f>
        <v>Sol</v>
      </c>
      <c r="N492" s="286" t="s">
        <v>1513</v>
      </c>
      <c r="O492" s="286">
        <v>62</v>
      </c>
      <c r="P492" s="286">
        <v>4.5</v>
      </c>
      <c r="Q492" s="12" t="s">
        <v>1270</v>
      </c>
    </row>
    <row r="493" spans="1:17" ht="12.5">
      <c r="A493" s="60" t="s">
        <v>234</v>
      </c>
      <c r="B493" s="287" t="str">
        <f>HYPERLINK("http://www.spoj.com/problems/MAKETREE/","SPOJ MAKETREE")</f>
        <v>SPOJ MAKETREE</v>
      </c>
      <c r="C493" s="67"/>
      <c r="D493" s="67"/>
      <c r="E493" s="67"/>
      <c r="F493" s="67"/>
      <c r="G493" s="67"/>
      <c r="H493" s="67"/>
      <c r="I493" s="36">
        <f t="shared" si="1"/>
        <v>0</v>
      </c>
      <c r="J493" s="67"/>
      <c r="K493" s="36"/>
      <c r="L493" s="67"/>
      <c r="M493" s="54" t="str">
        <f>HYPERLINK("https://www.youtube.com/watch?v=Rmi_2e6gt5M","Video Solution - Eng Yahia Ashraf")</f>
        <v>Video Solution - Eng Yahia Ashraf</v>
      </c>
      <c r="N493" s="286" t="s">
        <v>1514</v>
      </c>
      <c r="O493" s="286">
        <v>63</v>
      </c>
      <c r="P493" s="286">
        <v>2</v>
      </c>
    </row>
    <row r="494" spans="1:17" ht="12.5">
      <c r="A494" s="60" t="s">
        <v>235</v>
      </c>
      <c r="B494" s="287" t="str">
        <f>HYPERLINK("https://uva.onlinejudge.org/index.php?option=onlinejudge&amp;page=show_problem&amp;problem=1246","UVA 10305")</f>
        <v>UVA 10305</v>
      </c>
      <c r="C494" s="67"/>
      <c r="D494" s="67"/>
      <c r="E494" s="67"/>
      <c r="F494" s="67"/>
      <c r="G494" s="67"/>
      <c r="H494" s="67"/>
      <c r="I494" s="36">
        <f t="shared" si="1"/>
        <v>0</v>
      </c>
      <c r="J494" s="67"/>
      <c r="K494" s="36"/>
      <c r="L494" s="67"/>
      <c r="M494" s="54" t="str">
        <f>HYPERLINK("https://www.youtube.com/watch?v=4t-4ZC8BRj8","Video Solution - Eng Yahia Ashraf")</f>
        <v>Video Solution - Eng Yahia Ashraf</v>
      </c>
      <c r="N494" s="286" t="s">
        <v>1514</v>
      </c>
      <c r="O494" s="286">
        <v>63</v>
      </c>
      <c r="P494" s="286">
        <v>3</v>
      </c>
    </row>
    <row r="495" spans="1:17" ht="12.5">
      <c r="A495" s="60"/>
      <c r="B495" s="60" t="s">
        <v>1132</v>
      </c>
      <c r="C495" s="67"/>
      <c r="D495" s="67"/>
      <c r="E495" s="67"/>
      <c r="F495" s="67"/>
      <c r="G495" s="67"/>
      <c r="H495" s="67"/>
      <c r="I495" s="36">
        <f t="shared" si="1"/>
        <v>0</v>
      </c>
      <c r="J495" s="67"/>
      <c r="K495" s="67"/>
      <c r="L495" s="302"/>
      <c r="M495" s="191"/>
      <c r="N495" s="286" t="s">
        <v>1515</v>
      </c>
      <c r="O495" s="286">
        <v>63</v>
      </c>
      <c r="P495" s="286">
        <v>4</v>
      </c>
      <c r="Q495" s="12"/>
    </row>
    <row r="496" spans="1:17" ht="12.5">
      <c r="A496" s="60" t="s">
        <v>665</v>
      </c>
      <c r="B496" s="287" t="str">
        <f>HYPERLINK("https://uva.onlinejudge.org/index.php?option=com_onlinejudge&amp;Itemid=8&amp;page=show_problem&amp;problem=132","UVA 196")</f>
        <v>UVA 196</v>
      </c>
      <c r="C496" s="67"/>
      <c r="D496" s="67"/>
      <c r="E496" s="67"/>
      <c r="F496" s="67"/>
      <c r="G496" s="67"/>
      <c r="H496" s="67"/>
      <c r="I496" s="36">
        <f t="shared" si="1"/>
        <v>0</v>
      </c>
      <c r="J496" s="67"/>
      <c r="K496" s="67"/>
      <c r="L496" s="67"/>
      <c r="M496" s="134" t="s">
        <v>632</v>
      </c>
      <c r="N496" s="286" t="s">
        <v>1516</v>
      </c>
      <c r="O496" s="286">
        <v>63</v>
      </c>
      <c r="P496" s="286">
        <v>4</v>
      </c>
      <c r="Q496" s="12" t="s">
        <v>1245</v>
      </c>
    </row>
    <row r="497" spans="1:17" ht="12.5">
      <c r="A497" s="60" t="s">
        <v>688</v>
      </c>
      <c r="B497" s="287" t="str">
        <f>HYPERLINK("https://uva.onlinejudge.org/index.php?option=com_onlinejudge&amp;Itemid=8&amp;page=show_problem&amp;problem=3415","UVA 12263")</f>
        <v>UVA 12263</v>
      </c>
      <c r="C497" s="67"/>
      <c r="D497" s="67"/>
      <c r="E497" s="67"/>
      <c r="F497" s="67"/>
      <c r="G497" s="67"/>
      <c r="H497" s="67"/>
      <c r="I497" s="36">
        <f t="shared" si="1"/>
        <v>0</v>
      </c>
      <c r="J497" s="36"/>
      <c r="K497" s="36"/>
      <c r="L497" s="36"/>
      <c r="M497" s="293" t="str">
        <f>HYPERLINK("https://github.com/mostafa-saad/MyCompetitiveProgramming/blob/master/UVA/UVA_12263.txt","Sol")</f>
        <v>Sol</v>
      </c>
      <c r="N497" s="286" t="s">
        <v>1514</v>
      </c>
      <c r="O497" s="286">
        <v>63</v>
      </c>
      <c r="P497" s="286">
        <v>4</v>
      </c>
      <c r="Q497" s="12" t="s">
        <v>1243</v>
      </c>
    </row>
    <row r="498" spans="1:17" ht="12.5">
      <c r="A498" s="60" t="s">
        <v>854</v>
      </c>
      <c r="B498" s="287" t="str">
        <f>HYPERLINK("https://uva.onlinejudge.org/index.php?option=com_onlinejudge&amp;Itemid=8&amp;page=show_problem&amp;problem=2733","UVA 11686")</f>
        <v>UVA 11686</v>
      </c>
      <c r="C498" s="67"/>
      <c r="D498" s="67"/>
      <c r="E498" s="67"/>
      <c r="F498" s="67"/>
      <c r="G498" s="67"/>
      <c r="H498" s="67"/>
      <c r="I498" s="36">
        <f t="shared" si="1"/>
        <v>0</v>
      </c>
      <c r="J498" s="67"/>
      <c r="K498" s="67"/>
      <c r="L498" s="67"/>
      <c r="M498" s="301" t="str">
        <f>HYPERLINK("https://github.com/VAMPIER000001/CompetitiveProgramming/blob/master/UVA/V-116/UVA%2011686.Cpp","Sol")</f>
        <v>Sol</v>
      </c>
      <c r="N498" s="286" t="s">
        <v>1517</v>
      </c>
      <c r="O498" s="286">
        <v>63</v>
      </c>
      <c r="P498" s="286">
        <v>4</v>
      </c>
    </row>
    <row r="499" spans="1:17" ht="12.5">
      <c r="A499" s="60"/>
      <c r="B499" s="60" t="s">
        <v>1103</v>
      </c>
      <c r="C499" s="67"/>
      <c r="D499" s="67"/>
      <c r="E499" s="67"/>
      <c r="F499" s="67"/>
      <c r="G499" s="67"/>
      <c r="H499" s="67"/>
      <c r="I499" s="36">
        <f t="shared" si="1"/>
        <v>0</v>
      </c>
      <c r="J499" s="67"/>
      <c r="K499" s="67"/>
      <c r="L499" s="67"/>
      <c r="M499" s="286"/>
      <c r="N499" s="286" t="s">
        <v>1514</v>
      </c>
      <c r="O499" s="286">
        <v>63</v>
      </c>
      <c r="P499" s="286">
        <v>5</v>
      </c>
      <c r="Q499" s="12" t="s">
        <v>1245</v>
      </c>
    </row>
    <row r="500" spans="1:17" ht="12.5">
      <c r="A500" s="60" t="s">
        <v>963</v>
      </c>
      <c r="B500" s="287" t="str">
        <f>HYPERLINK("http://codeforces.com/contest/645/problem/D","CF645-D12-D")</f>
        <v>CF645-D12-D</v>
      </c>
      <c r="C500" s="67"/>
      <c r="D500" s="67"/>
      <c r="E500" s="67"/>
      <c r="F500" s="67"/>
      <c r="G500" s="67"/>
      <c r="H500" s="67"/>
      <c r="I500" s="36">
        <f t="shared" si="1"/>
        <v>0</v>
      </c>
      <c r="J500" s="67"/>
      <c r="K500" s="67"/>
      <c r="L500" s="67"/>
      <c r="M500" s="191"/>
      <c r="N500" s="286" t="s">
        <v>1518</v>
      </c>
      <c r="O500" s="286">
        <v>63</v>
      </c>
      <c r="P500" s="286">
        <v>5</v>
      </c>
      <c r="Q500" s="12" t="s">
        <v>1245</v>
      </c>
    </row>
    <row r="501" spans="1:17" ht="12.5">
      <c r="A501" s="60" t="s">
        <v>1113</v>
      </c>
      <c r="B501" s="287" t="str">
        <f>HYPERLINK("http://codeforces.com/contest/681/problem/D","CF681-D2-D")</f>
        <v>CF681-D2-D</v>
      </c>
      <c r="C501" s="67"/>
      <c r="D501" s="67"/>
      <c r="E501" s="67"/>
      <c r="F501" s="67"/>
      <c r="G501" s="67"/>
      <c r="H501" s="67"/>
      <c r="I501" s="36">
        <f t="shared" si="1"/>
        <v>0</v>
      </c>
      <c r="J501" s="36"/>
      <c r="K501" s="36"/>
      <c r="L501" s="67"/>
      <c r="M501" s="191"/>
      <c r="N501" s="286" t="s">
        <v>1519</v>
      </c>
      <c r="O501" s="286">
        <v>63</v>
      </c>
      <c r="P501" s="286">
        <v>5</v>
      </c>
      <c r="Q501" s="12" t="s">
        <v>1243</v>
      </c>
    </row>
    <row r="502" spans="1:17" ht="12.5">
      <c r="A502" s="60" t="s">
        <v>1224</v>
      </c>
      <c r="B502" s="287" t="str">
        <f>HYPERLINK("http://codeforces.com/contest/812/problem/D","CF812-D2-D")</f>
        <v>CF812-D2-D</v>
      </c>
      <c r="C502" s="67"/>
      <c r="D502" s="67"/>
      <c r="E502" s="67"/>
      <c r="F502" s="67"/>
      <c r="G502" s="67"/>
      <c r="H502" s="67"/>
      <c r="I502" s="36">
        <f t="shared" si="1"/>
        <v>0</v>
      </c>
      <c r="J502" s="36"/>
      <c r="K502" s="36"/>
      <c r="L502" s="67"/>
      <c r="M502" s="301" t="str">
        <f>HYPERLINK("https://github.com/BRAINOOOO/CompetitiveProgramming/blob/master/CF/CF812-D2-D","Sol")</f>
        <v>Sol</v>
      </c>
      <c r="N502" s="286" t="s">
        <v>1520</v>
      </c>
      <c r="O502" s="286">
        <v>63</v>
      </c>
      <c r="P502" s="286">
        <v>6</v>
      </c>
      <c r="Q502" s="12" t="s">
        <v>1270</v>
      </c>
    </row>
    <row r="503" spans="1:17" ht="12.5">
      <c r="A503" s="60" t="s">
        <v>758</v>
      </c>
      <c r="B503" s="287" t="str">
        <f>HYPERLINK("http://www.spoj.com/problems/SHOP/","SPOJ SHOP")</f>
        <v>SPOJ SHOP</v>
      </c>
      <c r="C503" s="67"/>
      <c r="D503" s="67"/>
      <c r="E503" s="67"/>
      <c r="F503" s="67"/>
      <c r="G503" s="67"/>
      <c r="H503" s="67"/>
      <c r="I503" s="36">
        <f t="shared" si="1"/>
        <v>0</v>
      </c>
      <c r="J503" s="36"/>
      <c r="K503" s="36"/>
      <c r="L503" s="67"/>
      <c r="M503" s="60"/>
      <c r="N503" s="286" t="s">
        <v>1521</v>
      </c>
      <c r="O503" s="286">
        <v>64</v>
      </c>
      <c r="P503" s="286">
        <v>3</v>
      </c>
    </row>
    <row r="504" spans="1:17" ht="12.5">
      <c r="A504" s="60" t="s">
        <v>756</v>
      </c>
      <c r="B504" s="287" t="str">
        <f>HYPERLINK("https://uva.onlinejudge.org/index.php?option=com_onlinejudge&amp;Itemid=8&amp;page=show_problem&amp;problem=1927","UVA 10986")</f>
        <v>UVA 10986</v>
      </c>
      <c r="C504" s="67"/>
      <c r="D504" s="67"/>
      <c r="E504" s="67"/>
      <c r="F504" s="67"/>
      <c r="G504" s="67"/>
      <c r="H504" s="67"/>
      <c r="I504" s="36">
        <f t="shared" si="1"/>
        <v>0</v>
      </c>
      <c r="J504" s="36"/>
      <c r="K504" s="36"/>
      <c r="L504" s="67"/>
      <c r="M504" s="60"/>
      <c r="N504" s="286" t="s">
        <v>1521</v>
      </c>
      <c r="O504" s="286">
        <v>64</v>
      </c>
      <c r="P504" s="286">
        <v>3</v>
      </c>
    </row>
    <row r="505" spans="1:17" ht="12.5">
      <c r="A505" s="60" t="s">
        <v>1014</v>
      </c>
      <c r="B505" s="287" t="str">
        <f>HYPERLINK("http://www.spoj.com/problems/MELE3/","SPOJ MELE3")</f>
        <v>SPOJ MELE3</v>
      </c>
      <c r="C505" s="67"/>
      <c r="D505" s="67"/>
      <c r="E505" s="67"/>
      <c r="F505" s="67"/>
      <c r="G505" s="67"/>
      <c r="H505" s="67"/>
      <c r="I505" s="36">
        <f t="shared" si="1"/>
        <v>0</v>
      </c>
      <c r="J505" s="36"/>
      <c r="K505" s="36"/>
      <c r="L505" s="67"/>
      <c r="M505" s="301" t="str">
        <f>HYPERLINK("https://github.com/VAMPIER000001/CompetitiveProgramming/blob/a5d714fa4de45e50f87306d421ec6c3c02026f76/Spoj/SPOJ%20MELE3.Cpp","Sol")</f>
        <v>Sol</v>
      </c>
      <c r="N505" s="286" t="s">
        <v>1521</v>
      </c>
      <c r="O505" s="286">
        <v>64</v>
      </c>
      <c r="P505" s="286">
        <v>4.5</v>
      </c>
      <c r="Q505" s="12"/>
    </row>
    <row r="506" spans="1:17" ht="12.5">
      <c r="A506" s="60" t="s">
        <v>1015</v>
      </c>
      <c r="B506" s="287" t="str">
        <f>HYPERLINK("http://www.spoj.com/problems/ROADS/en/","SPOJ ROADS")</f>
        <v>SPOJ ROADS</v>
      </c>
      <c r="C506" s="67"/>
      <c r="D506" s="67"/>
      <c r="E506" s="67"/>
      <c r="F506" s="67"/>
      <c r="G506" s="67"/>
      <c r="H506" s="67"/>
      <c r="I506" s="36">
        <f t="shared" si="1"/>
        <v>0</v>
      </c>
      <c r="J506" s="36"/>
      <c r="K506" s="36"/>
      <c r="L506" s="67"/>
      <c r="M506" s="301" t="str">
        <f>HYPERLINK("https://github.com/mostafa-saad/MyCompetitiveProgramming/blob/master/SPOJ/SPOJ_ROADS.txt","Sol")</f>
        <v>Sol</v>
      </c>
      <c r="N506" s="286" t="s">
        <v>1522</v>
      </c>
      <c r="O506" s="286">
        <v>64</v>
      </c>
      <c r="P506" s="286">
        <v>4.5</v>
      </c>
      <c r="Q506" s="12" t="s">
        <v>1245</v>
      </c>
    </row>
    <row r="507" spans="1:17" ht="12.5">
      <c r="A507" s="60" t="s">
        <v>757</v>
      </c>
      <c r="B507" s="287" t="str">
        <f>HYPERLINK("https://uva.onlinejudge.org/index.php?option=onlinejudge&amp;page=show_problem&amp;problem=1742","UVA 10801")</f>
        <v>UVA 10801</v>
      </c>
      <c r="C507" s="67"/>
      <c r="D507" s="67"/>
      <c r="E507" s="67"/>
      <c r="F507" s="67"/>
      <c r="G507" s="67"/>
      <c r="H507" s="67"/>
      <c r="I507" s="36">
        <f t="shared" si="1"/>
        <v>0</v>
      </c>
      <c r="J507" s="36"/>
      <c r="K507" s="36"/>
      <c r="L507" s="67"/>
      <c r="M507" s="60"/>
      <c r="N507" s="286" t="s">
        <v>1521</v>
      </c>
      <c r="O507" s="286">
        <v>64</v>
      </c>
      <c r="P507" s="286">
        <v>4.5</v>
      </c>
    </row>
    <row r="508" spans="1:17" ht="12.5">
      <c r="A508" s="60"/>
      <c r="B508" s="60" t="s">
        <v>1136</v>
      </c>
      <c r="C508" s="67"/>
      <c r="D508" s="67"/>
      <c r="E508" s="67"/>
      <c r="F508" s="67"/>
      <c r="G508" s="67"/>
      <c r="H508" s="67"/>
      <c r="I508" s="36">
        <f t="shared" si="1"/>
        <v>0</v>
      </c>
      <c r="J508" s="67"/>
      <c r="K508" s="67"/>
      <c r="L508" s="302"/>
      <c r="M508" s="216" t="str">
        <f>HYPERLINK("https://github.com/mostafa-saad/MyCompetitiveProgramming/blob/master/UVA/UVA_10740.txt","Sol")</f>
        <v>Sol</v>
      </c>
      <c r="N508" s="286" t="s">
        <v>1523</v>
      </c>
      <c r="O508" s="286">
        <v>64</v>
      </c>
      <c r="P508" s="286">
        <v>5</v>
      </c>
      <c r="Q508" s="12" t="s">
        <v>1245</v>
      </c>
    </row>
    <row r="509" spans="1:17" ht="12.5">
      <c r="A509" s="60" t="s">
        <v>984</v>
      </c>
      <c r="B509" s="287" t="str">
        <f>HYPERLINK("http://codeforces.com/contest/96/problem/D","CF96-D2-D")</f>
        <v>CF96-D2-D</v>
      </c>
      <c r="C509" s="67"/>
      <c r="D509" s="67"/>
      <c r="E509" s="67"/>
      <c r="F509" s="67"/>
      <c r="G509" s="67"/>
      <c r="H509" s="67"/>
      <c r="I509" s="36">
        <f t="shared" si="1"/>
        <v>0</v>
      </c>
      <c r="J509" s="67"/>
      <c r="K509" s="67"/>
      <c r="L509" s="67"/>
      <c r="M509" s="28"/>
      <c r="N509" s="286" t="s">
        <v>1524</v>
      </c>
      <c r="O509" s="286">
        <v>64</v>
      </c>
      <c r="P509" s="286">
        <v>5</v>
      </c>
      <c r="Q509" s="12" t="s">
        <v>1245</v>
      </c>
    </row>
    <row r="510" spans="1:17" ht="12.5">
      <c r="A510" s="60"/>
      <c r="B510" s="60" t="s">
        <v>931</v>
      </c>
      <c r="C510" s="67"/>
      <c r="D510" s="67"/>
      <c r="E510" s="67"/>
      <c r="F510" s="67"/>
      <c r="G510" s="67"/>
      <c r="H510" s="67"/>
      <c r="I510" s="36">
        <f t="shared" si="1"/>
        <v>0</v>
      </c>
      <c r="J510" s="67"/>
      <c r="K510" s="67"/>
      <c r="L510" s="67"/>
      <c r="M510" s="216" t="str">
        <f>HYPERLINK("https://github.com/ilyesG/Competitive-Programming/blob/master/UVA/UVA%2012047.cpp","Sol")</f>
        <v>Sol</v>
      </c>
      <c r="N510" s="286" t="s">
        <v>1521</v>
      </c>
      <c r="O510" s="286">
        <v>64</v>
      </c>
      <c r="P510" s="286">
        <v>5.5</v>
      </c>
      <c r="Q510" s="12" t="s">
        <v>1245</v>
      </c>
    </row>
    <row r="511" spans="1:17" ht="12.5">
      <c r="A511" s="60"/>
      <c r="B511" s="60" t="s">
        <v>965</v>
      </c>
      <c r="C511" s="67"/>
      <c r="D511" s="67"/>
      <c r="E511" s="67"/>
      <c r="F511" s="67"/>
      <c r="G511" s="67"/>
      <c r="H511" s="67"/>
      <c r="I511" s="36">
        <f t="shared" si="1"/>
        <v>0</v>
      </c>
      <c r="J511" s="67"/>
      <c r="K511" s="67"/>
      <c r="L511" s="67"/>
      <c r="M511" s="216" t="str">
        <f>HYPERLINK("https://ideone.com/x8zpRc","Sol - read the statement clarification")</f>
        <v>Sol - read the statement clarification</v>
      </c>
      <c r="N511" s="286" t="s">
        <v>1525</v>
      </c>
      <c r="O511" s="286">
        <v>64</v>
      </c>
      <c r="P511" s="286">
        <v>5.5</v>
      </c>
      <c r="Q511" s="12" t="s">
        <v>1245</v>
      </c>
    </row>
    <row r="512" spans="1:17" ht="12.5">
      <c r="A512" s="60" t="s">
        <v>1057</v>
      </c>
      <c r="B512" s="60" t="s">
        <v>1058</v>
      </c>
      <c r="C512" s="67"/>
      <c r="D512" s="67"/>
      <c r="E512" s="67"/>
      <c r="F512" s="67"/>
      <c r="G512" s="67"/>
      <c r="H512" s="67"/>
      <c r="I512" s="36">
        <f t="shared" si="1"/>
        <v>0</v>
      </c>
      <c r="J512" s="67"/>
      <c r="K512" s="67"/>
      <c r="L512" s="302"/>
      <c r="M512" s="301" t="str">
        <f>HYPERLINK("https://github.com/BRAINOOO/CompetitiveProgramming/blob/master/UVA/V-116/UVA%2011635.Cpp","Sol")</f>
        <v>Sol</v>
      </c>
      <c r="N512" s="286" t="s">
        <v>1521</v>
      </c>
      <c r="O512" s="286">
        <v>64</v>
      </c>
      <c r="P512" s="286">
        <v>5.5</v>
      </c>
    </row>
    <row r="513" spans="1:17" ht="12.5">
      <c r="A513" s="60" t="s">
        <v>502</v>
      </c>
      <c r="B513" s="60" t="s">
        <v>503</v>
      </c>
      <c r="C513" s="67"/>
      <c r="D513" s="67"/>
      <c r="E513" s="67"/>
      <c r="F513" s="67"/>
      <c r="G513" s="67"/>
      <c r="H513" s="67"/>
      <c r="I513" s="36">
        <f t="shared" si="1"/>
        <v>0</v>
      </c>
      <c r="J513" s="36"/>
      <c r="K513" s="36"/>
      <c r="L513" s="67"/>
      <c r="M513" s="28"/>
      <c r="N513" s="286" t="s">
        <v>1526</v>
      </c>
      <c r="O513" s="286">
        <v>65</v>
      </c>
      <c r="P513" s="286">
        <v>2</v>
      </c>
    </row>
    <row r="514" spans="1:17" ht="12.5">
      <c r="A514" s="60" t="s">
        <v>961</v>
      </c>
      <c r="B514" s="287" t="str">
        <f>HYPERLINK("https://uva.onlinejudge.org/index.php?option=onlinejudge&amp;page=show_problem&amp;problem=1119","UVA 10178")</f>
        <v>UVA 10178</v>
      </c>
      <c r="C514" s="67"/>
      <c r="D514" s="67"/>
      <c r="E514" s="67"/>
      <c r="F514" s="67"/>
      <c r="G514" s="67"/>
      <c r="H514" s="67"/>
      <c r="I514" s="36">
        <f t="shared" si="1"/>
        <v>0</v>
      </c>
      <c r="J514" s="67"/>
      <c r="K514" s="67"/>
      <c r="L514" s="67"/>
      <c r="M514" s="300" t="str">
        <f>HYPERLINK("https://en.wikipedia.org/wiki/Planar_graph#Euler's_formula","Read first Euler Formula")</f>
        <v>Read first Euler Formula</v>
      </c>
      <c r="N514" s="286" t="s">
        <v>1527</v>
      </c>
      <c r="O514" s="286">
        <v>65</v>
      </c>
      <c r="P514" s="286">
        <v>4</v>
      </c>
      <c r="Q514" s="12" t="s">
        <v>1243</v>
      </c>
    </row>
    <row r="515" spans="1:17" ht="12.5">
      <c r="A515" s="60" t="s">
        <v>714</v>
      </c>
      <c r="B515" s="287" t="str">
        <f>HYPERLINK("http://codeforces.com/contest/278/problem/C","CF278-D2-C")</f>
        <v>CF278-D2-C</v>
      </c>
      <c r="C515" s="67"/>
      <c r="D515" s="67"/>
      <c r="E515" s="67"/>
      <c r="F515" s="67"/>
      <c r="G515" s="67"/>
      <c r="H515" s="67"/>
      <c r="I515" s="36">
        <f t="shared" si="1"/>
        <v>0</v>
      </c>
      <c r="J515" s="36"/>
      <c r="K515" s="36"/>
      <c r="L515" s="67"/>
      <c r="M515" s="286"/>
      <c r="N515" s="286" t="s">
        <v>1526</v>
      </c>
      <c r="O515" s="286">
        <v>65</v>
      </c>
      <c r="P515" s="286">
        <v>4</v>
      </c>
    </row>
    <row r="516" spans="1:17" ht="12.5">
      <c r="A516" s="60" t="s">
        <v>474</v>
      </c>
      <c r="B516" s="287" t="str">
        <f>HYPERLINK("https://uva.onlinejudge.org/index.php?option=onlinejudge&amp;page=show_problem&amp;problem=2498","UVA 11503")</f>
        <v>UVA 11503</v>
      </c>
      <c r="C516" s="67"/>
      <c r="D516" s="67"/>
      <c r="E516" s="67"/>
      <c r="F516" s="67"/>
      <c r="G516" s="67"/>
      <c r="H516" s="67"/>
      <c r="I516" s="36">
        <f t="shared" si="1"/>
        <v>0</v>
      </c>
      <c r="J516" s="36"/>
      <c r="K516" s="36"/>
      <c r="L516" s="67"/>
      <c r="M516" s="137" t="str">
        <f>HYPERLINK("https://www.youtube.com/watch?v=kO_XbOt1drc","Video Solution - Eng Moaz Rashad")</f>
        <v>Video Solution - Eng Moaz Rashad</v>
      </c>
      <c r="N516" s="286" t="s">
        <v>1526</v>
      </c>
      <c r="O516" s="286">
        <v>65</v>
      </c>
      <c r="P516" s="286">
        <v>4</v>
      </c>
    </row>
    <row r="517" spans="1:17" ht="12.5">
      <c r="A517" s="60" t="s">
        <v>1037</v>
      </c>
      <c r="B517" s="60" t="s">
        <v>1038</v>
      </c>
      <c r="C517" s="67"/>
      <c r="D517" s="67"/>
      <c r="E517" s="67"/>
      <c r="F517" s="67"/>
      <c r="G517" s="67"/>
      <c r="H517" s="67"/>
      <c r="I517" s="36">
        <f t="shared" ref="I517:I771" si="2">SUM(E517:H517)</f>
        <v>0</v>
      </c>
      <c r="J517" s="67"/>
      <c r="K517" s="67"/>
      <c r="L517" s="302"/>
      <c r="M517" s="301" t="str">
        <f>HYPERLINK("https://github.com/VAMPIER000001/CompetitiveProgramming/blob/master/UVA/V-119/UVA%2011987.Cpp","Sol")</f>
        <v>Sol</v>
      </c>
      <c r="N517" s="286" t="s">
        <v>1526</v>
      </c>
      <c r="O517" s="286">
        <v>65</v>
      </c>
      <c r="P517" s="286">
        <v>4.5</v>
      </c>
      <c r="Q517" s="12" t="s">
        <v>1245</v>
      </c>
    </row>
    <row r="518" spans="1:17" ht="12.5">
      <c r="A518" s="60" t="s">
        <v>1205</v>
      </c>
      <c r="B518" s="287" t="str">
        <f>HYPERLINK("http://codeforces.com/contest/104/problem/C","CF104-D2-C")</f>
        <v>CF104-D2-C</v>
      </c>
      <c r="C518" s="67"/>
      <c r="D518" s="67"/>
      <c r="E518" s="67"/>
      <c r="F518" s="67"/>
      <c r="G518" s="67"/>
      <c r="H518" s="67"/>
      <c r="I518" s="36">
        <f t="shared" si="2"/>
        <v>0</v>
      </c>
      <c r="J518" s="67"/>
      <c r="K518" s="67"/>
      <c r="L518" s="302"/>
      <c r="M518" s="191"/>
      <c r="N518" s="286" t="s">
        <v>1526</v>
      </c>
      <c r="O518" s="286">
        <v>65</v>
      </c>
      <c r="P518" s="286">
        <v>4.5</v>
      </c>
    </row>
    <row r="519" spans="1:17" ht="12.5">
      <c r="A519" s="60" t="s">
        <v>1163</v>
      </c>
      <c r="B519" s="287" t="str">
        <f>HYPERLINK("http://codeforces.com/contest/437/problem/D","CF437-D2-D")</f>
        <v>CF437-D2-D</v>
      </c>
      <c r="C519" s="67"/>
      <c r="D519" s="67"/>
      <c r="E519" s="67"/>
      <c r="F519" s="67"/>
      <c r="G519" s="67"/>
      <c r="H519" s="67"/>
      <c r="I519" s="36">
        <f t="shared" si="2"/>
        <v>0</v>
      </c>
      <c r="J519" s="36"/>
      <c r="K519" s="36"/>
      <c r="L519" s="302"/>
      <c r="M519" s="191"/>
      <c r="N519" s="286" t="s">
        <v>1526</v>
      </c>
      <c r="O519" s="286">
        <v>65</v>
      </c>
      <c r="P519" s="286">
        <v>5</v>
      </c>
      <c r="Q519" s="12"/>
    </row>
    <row r="520" spans="1:17" ht="12.5">
      <c r="A520" s="60" t="s">
        <v>933</v>
      </c>
      <c r="B520" s="287" t="str">
        <f>HYPERLINK("http://codeforces.com/contest/766/problem/D","CF766-D2-D")</f>
        <v>CF766-D2-D</v>
      </c>
      <c r="C520" s="67"/>
      <c r="D520" s="67"/>
      <c r="E520" s="67"/>
      <c r="F520" s="67"/>
      <c r="G520" s="67"/>
      <c r="H520" s="67"/>
      <c r="I520" s="36">
        <f t="shared" si="2"/>
        <v>0</v>
      </c>
      <c r="J520" s="36"/>
      <c r="K520" s="36"/>
      <c r="L520" s="67"/>
      <c r="M520" s="290" t="str">
        <f>HYPERLINK("https://www.youtube.com/watch?v=W0O3QNh0-DU","Video Solution - Solver to be (Java)")</f>
        <v>Video Solution - Solver to be (Java)</v>
      </c>
      <c r="N520" s="286" t="s">
        <v>1528</v>
      </c>
      <c r="O520" s="286">
        <v>65</v>
      </c>
      <c r="P520" s="286">
        <v>5</v>
      </c>
      <c r="Q520" s="12" t="s">
        <v>1245</v>
      </c>
    </row>
    <row r="521" spans="1:17" ht="12.5">
      <c r="A521" s="60"/>
      <c r="B521" s="287" t="str">
        <f>HYPERLINK("http://codeforces.com/contest/1012/problem/B","CF1012-D1-B")</f>
        <v>CF1012-D1-B</v>
      </c>
      <c r="C521" s="67"/>
      <c r="D521" s="67"/>
      <c r="E521" s="67"/>
      <c r="F521" s="67"/>
      <c r="G521" s="67"/>
      <c r="H521" s="67"/>
      <c r="I521" s="36">
        <f t="shared" si="2"/>
        <v>0</v>
      </c>
      <c r="J521" s="67"/>
      <c r="K521" s="67"/>
      <c r="L521" s="67"/>
      <c r="M521" s="191"/>
      <c r="N521" s="286" t="s">
        <v>1526</v>
      </c>
      <c r="O521" s="286">
        <v>65</v>
      </c>
      <c r="P521" s="286">
        <v>5.25</v>
      </c>
      <c r="Q521" s="12" t="s">
        <v>1243</v>
      </c>
    </row>
    <row r="522" spans="1:17" ht="12.5">
      <c r="A522" s="60"/>
      <c r="B522" s="60" t="s">
        <v>1165</v>
      </c>
      <c r="C522" s="67"/>
      <c r="D522" s="67"/>
      <c r="E522" s="67"/>
      <c r="F522" s="67"/>
      <c r="G522" s="67"/>
      <c r="H522" s="67"/>
      <c r="I522" s="36">
        <f t="shared" si="2"/>
        <v>0</v>
      </c>
      <c r="J522" s="36"/>
      <c r="K522" s="36"/>
      <c r="L522" s="302"/>
      <c r="M522" s="191"/>
      <c r="N522" s="286" t="s">
        <v>1529</v>
      </c>
      <c r="O522" s="286">
        <v>65</v>
      </c>
      <c r="P522" s="286">
        <v>5.5</v>
      </c>
      <c r="Q522" s="12" t="s">
        <v>1243</v>
      </c>
    </row>
    <row r="523" spans="1:17" ht="12.5">
      <c r="A523" s="60" t="s">
        <v>1160</v>
      </c>
      <c r="B523" s="287" t="str">
        <f>HYPERLINK("http://codeforces.com/contest/292/problem/D","CF292-D12-D")</f>
        <v>CF292-D12-D</v>
      </c>
      <c r="C523" s="67"/>
      <c r="D523" s="67"/>
      <c r="E523" s="67"/>
      <c r="F523" s="67"/>
      <c r="G523" s="67"/>
      <c r="H523" s="67"/>
      <c r="I523" s="36">
        <f t="shared" si="2"/>
        <v>0</v>
      </c>
      <c r="J523" s="36"/>
      <c r="K523" s="36"/>
      <c r="L523" s="302"/>
      <c r="M523" s="191"/>
      <c r="N523" s="286" t="s">
        <v>1526</v>
      </c>
      <c r="O523" s="286">
        <v>65</v>
      </c>
      <c r="P523" s="286">
        <v>5.75</v>
      </c>
      <c r="Q523" s="12" t="s">
        <v>1245</v>
      </c>
    </row>
    <row r="524" spans="1:17" ht="12.5">
      <c r="A524" s="60" t="s">
        <v>1028</v>
      </c>
      <c r="B524" s="287" t="str">
        <f>HYPERLINK("https://uva.onlinejudge.org/index.php?option=onlinejudge&amp;page=show_problem&amp;problem=122","UVA 186")</f>
        <v>UVA 186</v>
      </c>
      <c r="C524" s="67"/>
      <c r="D524" s="67"/>
      <c r="E524" s="67"/>
      <c r="F524" s="67"/>
      <c r="G524" s="67"/>
      <c r="H524" s="67"/>
      <c r="I524" s="36">
        <f t="shared" si="2"/>
        <v>0</v>
      </c>
      <c r="J524" s="36"/>
      <c r="K524" s="36"/>
      <c r="L524" s="67"/>
      <c r="M524" s="301" t="str">
        <f>HYPERLINK("https://github.com/VAMPIER000001/CompetitiveProgramming/blob/master/UVA/V-1/UVA%20186.Cpp","Sol")</f>
        <v>Sol</v>
      </c>
      <c r="N524" s="286" t="s">
        <v>1530</v>
      </c>
      <c r="O524" s="286">
        <v>68</v>
      </c>
      <c r="P524" s="286">
        <v>4</v>
      </c>
      <c r="Q524" s="12" t="s">
        <v>1245</v>
      </c>
    </row>
    <row r="525" spans="1:17" ht="12.5">
      <c r="A525" s="60" t="s">
        <v>809</v>
      </c>
      <c r="B525" s="287" t="str">
        <f>HYPERLINK("https://uva.onlinejudge.org/index.php?option=onlinejudge&amp;page=show_problem&amp;problem=61","UVA 125")</f>
        <v>UVA 125</v>
      </c>
      <c r="C525" s="67"/>
      <c r="D525" s="67"/>
      <c r="E525" s="67"/>
      <c r="F525" s="67"/>
      <c r="G525" s="67"/>
      <c r="H525" s="67"/>
      <c r="I525" s="36">
        <f t="shared" si="2"/>
        <v>0</v>
      </c>
      <c r="J525" s="36"/>
      <c r="K525" s="36"/>
      <c r="L525" s="67"/>
      <c r="M525" s="301" t="str">
        <f>HYPERLINK("https://github.com/mostafa-saad/MyCompetitiveProgramming/blob/master/UVA/UVA_125.txt","Sol")</f>
        <v>Sol</v>
      </c>
      <c r="N525" s="286" t="s">
        <v>1531</v>
      </c>
      <c r="O525" s="286">
        <v>68</v>
      </c>
      <c r="P525" s="286">
        <v>4.5</v>
      </c>
      <c r="Q525" s="12" t="s">
        <v>1248</v>
      </c>
    </row>
    <row r="526" spans="1:17" ht="12.5">
      <c r="A526" s="60" t="s">
        <v>807</v>
      </c>
      <c r="B526" s="287" t="str">
        <f>HYPERLINK("https://uva.onlinejudge.org/index.php?option=com_onlinejudge&amp;Itemid=8&amp;page=show_problem&amp;problem=475","UVA 534")</f>
        <v>UVA 534</v>
      </c>
      <c r="C526" s="67"/>
      <c r="D526" s="67"/>
      <c r="E526" s="67"/>
      <c r="F526" s="67"/>
      <c r="G526" s="67"/>
      <c r="H526" s="67"/>
      <c r="I526" s="36">
        <f t="shared" si="2"/>
        <v>0</v>
      </c>
      <c r="J526" s="36"/>
      <c r="K526" s="36"/>
      <c r="L526" s="67"/>
      <c r="M526" s="301" t="str">
        <f>HYPERLINK("https://github.com/ilyesG/Competitive-Programming/blob/master/UVA/UVA%20534.cpp","Sol")</f>
        <v>Sol</v>
      </c>
      <c r="N526" s="286" t="s">
        <v>1532</v>
      </c>
      <c r="O526" s="286">
        <v>68</v>
      </c>
      <c r="P526" s="286">
        <v>4.5</v>
      </c>
      <c r="Q526" s="12" t="s">
        <v>1270</v>
      </c>
    </row>
    <row r="527" spans="1:17" ht="12.5">
      <c r="A527" s="60" t="s">
        <v>1036</v>
      </c>
      <c r="B527" s="287" t="str">
        <f>HYPERLINK("https://uva.onlinejudge.org/index.php?option=onlinejudge&amp;page=show_problem&amp;problem=1757","UVA 10816")</f>
        <v>UVA 10816</v>
      </c>
      <c r="C527" s="67"/>
      <c r="D527" s="67"/>
      <c r="E527" s="67"/>
      <c r="F527" s="67"/>
      <c r="G527" s="67"/>
      <c r="H527" s="67"/>
      <c r="I527" s="36">
        <f t="shared" si="2"/>
        <v>0</v>
      </c>
      <c r="J527" s="36"/>
      <c r="K527" s="36"/>
      <c r="L527" s="302"/>
      <c r="M527" s="301" t="str">
        <f>HYPERLINK("https://github.com/VAMPIER000001/CompetitiveProgramming/blob/master/UVA/V-108/UVA%2010816.Cpp","Sol")</f>
        <v>Sol</v>
      </c>
      <c r="N527" s="286" t="s">
        <v>1533</v>
      </c>
      <c r="O527" s="286">
        <v>68</v>
      </c>
      <c r="P527" s="286">
        <v>4.5</v>
      </c>
    </row>
    <row r="528" spans="1:17" ht="12.5">
      <c r="A528" s="60" t="s">
        <v>808</v>
      </c>
      <c r="B528" s="287" t="str">
        <f>HYPERLINK("https://uva.onlinejudge.org/index.php?option=com_onlinejudge&amp;Itemid=8&amp;page=show_problem&amp;problem=270","UVA 334")</f>
        <v>UVA 334</v>
      </c>
      <c r="C528" s="67"/>
      <c r="D528" s="67"/>
      <c r="E528" s="67"/>
      <c r="F528" s="67"/>
      <c r="G528" s="67"/>
      <c r="H528" s="67"/>
      <c r="I528" s="36">
        <f t="shared" si="2"/>
        <v>0</v>
      </c>
      <c r="J528" s="36"/>
      <c r="K528" s="36"/>
      <c r="L528" s="67"/>
      <c r="M528" s="286"/>
      <c r="N528" s="286" t="s">
        <v>1534</v>
      </c>
      <c r="O528" s="286">
        <v>68</v>
      </c>
      <c r="P528" s="286">
        <v>4.5</v>
      </c>
    </row>
    <row r="529" spans="1:17" ht="12.5">
      <c r="A529" s="60" t="s">
        <v>1044</v>
      </c>
      <c r="B529" s="287" t="str">
        <f>HYPERLINK("http://codeforces.com/contest/296/problem/D","CF296-D2-D")</f>
        <v>CF296-D2-D</v>
      </c>
      <c r="C529" s="67"/>
      <c r="D529" s="67"/>
      <c r="E529" s="67"/>
      <c r="F529" s="67"/>
      <c r="G529" s="67"/>
      <c r="H529" s="67"/>
      <c r="I529" s="36">
        <f t="shared" si="2"/>
        <v>0</v>
      </c>
      <c r="J529" s="36"/>
      <c r="K529" s="36"/>
      <c r="L529" s="67"/>
      <c r="M529" s="60"/>
      <c r="N529" s="286" t="s">
        <v>1534</v>
      </c>
      <c r="O529" s="286">
        <v>68</v>
      </c>
      <c r="P529" s="286">
        <v>5</v>
      </c>
      <c r="Q529" s="12" t="s">
        <v>1243</v>
      </c>
    </row>
    <row r="530" spans="1:17" ht="12.5">
      <c r="A530" s="60" t="s">
        <v>886</v>
      </c>
      <c r="B530" s="287" t="str">
        <f>HYPERLINK("http://codeforces.com/contest/400/problem/D","CF400-D2-D")</f>
        <v>CF400-D2-D</v>
      </c>
      <c r="C530" s="67"/>
      <c r="D530" s="67"/>
      <c r="E530" s="67"/>
      <c r="F530" s="67"/>
      <c r="G530" s="67"/>
      <c r="H530" s="67"/>
      <c r="I530" s="36">
        <f t="shared" si="2"/>
        <v>0</v>
      </c>
      <c r="J530" s="67"/>
      <c r="K530" s="67"/>
      <c r="L530" s="67"/>
      <c r="M530" s="60"/>
      <c r="N530" s="286" t="s">
        <v>1535</v>
      </c>
      <c r="O530" s="286">
        <v>68</v>
      </c>
      <c r="P530" s="286">
        <v>5</v>
      </c>
      <c r="Q530" s="12" t="s">
        <v>1243</v>
      </c>
    </row>
    <row r="531" spans="1:17" ht="12.5">
      <c r="A531" s="60" t="s">
        <v>1198</v>
      </c>
      <c r="B531" s="287" t="str">
        <f>HYPERLINK("http://codeforces.com/contest/189/problem/D","CF189-D2-D")</f>
        <v>CF189-D2-D</v>
      </c>
      <c r="C531" s="67"/>
      <c r="D531" s="67"/>
      <c r="E531" s="67"/>
      <c r="F531" s="67"/>
      <c r="G531" s="67"/>
      <c r="H531" s="67"/>
      <c r="I531" s="36">
        <f t="shared" si="2"/>
        <v>0</v>
      </c>
      <c r="J531" s="67"/>
      <c r="K531" s="67"/>
      <c r="L531" s="302"/>
      <c r="M531" s="216" t="str">
        <f>HYPERLINK("https://github.com/OmarMekkawy/Problems-Solved-Codes/blob/master/CodeForces/189D.cpp","Sol")</f>
        <v>Sol</v>
      </c>
      <c r="N531" s="286" t="s">
        <v>1534</v>
      </c>
      <c r="O531" s="286">
        <v>68</v>
      </c>
      <c r="P531" s="286">
        <v>5.25</v>
      </c>
      <c r="Q531" s="12" t="s">
        <v>1270</v>
      </c>
    </row>
    <row r="532" spans="1:17" ht="12.5">
      <c r="A532" s="60" t="s">
        <v>1218</v>
      </c>
      <c r="B532" s="287" t="str">
        <f>HYPERLINK("https://uva.onlinejudge.org/index.php?option=onlinejudge&amp;page=show_problem&amp;problem=1928","UVA 10987")</f>
        <v>UVA 10987</v>
      </c>
      <c r="C532" s="67"/>
      <c r="D532" s="67"/>
      <c r="E532" s="67"/>
      <c r="F532" s="67"/>
      <c r="G532" s="67"/>
      <c r="H532" s="67"/>
      <c r="I532" s="36">
        <f t="shared" si="2"/>
        <v>0</v>
      </c>
      <c r="J532" s="67"/>
      <c r="K532" s="67"/>
      <c r="L532" s="302"/>
      <c r="M532" s="301" t="str">
        <f>HYPERLINK("https://github.com/abdullaAshraf/Problem-Solving/blob/master/UVA/10987.cpp","Sol")</f>
        <v>Sol</v>
      </c>
      <c r="N532" s="286" t="s">
        <v>1536</v>
      </c>
      <c r="O532" s="286">
        <v>68</v>
      </c>
      <c r="P532" s="286">
        <v>5.5</v>
      </c>
      <c r="Q532" s="12" t="s">
        <v>1270</v>
      </c>
    </row>
    <row r="533" spans="1:17" ht="12.5">
      <c r="A533" s="60" t="s">
        <v>1053</v>
      </c>
      <c r="B533" s="287" t="str">
        <f>HYPERLINK("https://www.youtube.com/watch?v=OWlJ8chpit0","UVA 10448")</f>
        <v>UVA 10448</v>
      </c>
      <c r="C533" s="67"/>
      <c r="D533" s="67"/>
      <c r="E533" s="67"/>
      <c r="F533" s="67"/>
      <c r="G533" s="67"/>
      <c r="H533" s="67"/>
      <c r="I533" s="36">
        <f t="shared" si="2"/>
        <v>0</v>
      </c>
      <c r="J533" s="36"/>
      <c r="K533" s="36"/>
      <c r="L533" s="67"/>
      <c r="M533" s="290" t="str">
        <f>HYPERLINK("https://www.youtube.com/watch?v=OWlJ8chpit0","Video Solution - Dr Mostafa Saad")</f>
        <v>Video Solution - Dr Mostafa Saad</v>
      </c>
      <c r="N533" s="286" t="s">
        <v>1537</v>
      </c>
      <c r="O533" s="286">
        <v>68</v>
      </c>
      <c r="P533" s="286">
        <v>5.5</v>
      </c>
      <c r="Q533" s="12" t="s">
        <v>1243</v>
      </c>
    </row>
    <row r="534" spans="1:17" ht="12.5">
      <c r="A534" s="60" t="s">
        <v>1177</v>
      </c>
      <c r="B534" s="287" t="str">
        <f>HYPERLINK("https://uva.onlinejudge.org/index.php?option=com_onlinejudge&amp;Itemid=8&amp;page=show_problem&amp;problem=40","UVA 104")</f>
        <v>UVA 104</v>
      </c>
      <c r="C534" s="67"/>
      <c r="D534" s="67"/>
      <c r="E534" s="67"/>
      <c r="F534" s="67"/>
      <c r="G534" s="67"/>
      <c r="H534" s="67"/>
      <c r="I534" s="36">
        <f t="shared" si="2"/>
        <v>0</v>
      </c>
      <c r="J534" s="67"/>
      <c r="K534" s="67"/>
      <c r="L534" s="302"/>
      <c r="M534" s="216" t="str">
        <f>HYPERLINK("https://github.com/abdullaAshraf/Problem-Solving/blob/master/UVA/104.cpp","Sol")</f>
        <v>Sol</v>
      </c>
      <c r="N534" s="286" t="s">
        <v>1534</v>
      </c>
      <c r="O534" s="286">
        <v>68</v>
      </c>
      <c r="P534" s="286">
        <v>6.25</v>
      </c>
      <c r="Q534" s="12" t="s">
        <v>1243</v>
      </c>
    </row>
    <row r="535" spans="1:17" ht="12.5">
      <c r="A535" s="60" t="s">
        <v>1085</v>
      </c>
      <c r="B535" s="287" t="str">
        <f>HYPERLINK("http://www.spoj.com/problems/POTHOLE/","SPOJ POTHOLE")</f>
        <v>SPOJ POTHOLE</v>
      </c>
      <c r="C535" s="67"/>
      <c r="D535" s="67"/>
      <c r="E535" s="67"/>
      <c r="F535" s="67"/>
      <c r="G535" s="67"/>
      <c r="H535" s="67"/>
      <c r="I535" s="36">
        <f t="shared" si="2"/>
        <v>0</v>
      </c>
      <c r="J535" s="36"/>
      <c r="K535" s="36"/>
      <c r="L535" s="67"/>
      <c r="M535" s="301" t="str">
        <f>HYPERLINK("https://github.com/BRAINOOOO/CompetitiveProgramming/blob/682cdb2f527d2ab262a9f616687b53a158b281a4/Spoj/SPOJ%20POTHOLE.Cpp","Sol")</f>
        <v>Sol</v>
      </c>
      <c r="N535" s="286" t="s">
        <v>1538</v>
      </c>
      <c r="O535" s="286">
        <v>71</v>
      </c>
      <c r="P535" s="286">
        <v>3</v>
      </c>
    </row>
    <row r="536" spans="1:17" ht="12.5">
      <c r="A536" s="60" t="s">
        <v>1086</v>
      </c>
      <c r="B536" s="287" t="str">
        <f>HYPERLINK("https://uva.onlinejudge.org/index.php?option=onlinejudge&amp;page=show_problem&amp;problem=1271","UVA 10330")</f>
        <v>UVA 10330</v>
      </c>
      <c r="C536" s="67"/>
      <c r="D536" s="67"/>
      <c r="E536" s="67"/>
      <c r="F536" s="67"/>
      <c r="G536" s="67"/>
      <c r="H536" s="67"/>
      <c r="I536" s="36">
        <f t="shared" si="2"/>
        <v>0</v>
      </c>
      <c r="J536" s="36"/>
      <c r="K536" s="36"/>
      <c r="L536" s="67"/>
      <c r="M536" s="301" t="str">
        <f>HYPERLINK("https://github.com/ilyesG/Competitive-Programming/blob/master/UVA/UVA%2010330.cpp","Sol")</f>
        <v>Sol</v>
      </c>
      <c r="N536" s="286" t="s">
        <v>1539</v>
      </c>
      <c r="O536" s="286">
        <v>71</v>
      </c>
      <c r="P536" s="286">
        <v>4</v>
      </c>
    </row>
    <row r="537" spans="1:17" ht="12.5">
      <c r="A537" s="60" t="s">
        <v>1186</v>
      </c>
      <c r="B537" s="287" t="str">
        <f>HYPERLINK("https://uva.onlinejudge.org/index.php?option=com_onlinejudge&amp;Itemid=8&amp;page=show_problem&amp;problem=1033","UVA 10092")</f>
        <v>UVA 10092</v>
      </c>
      <c r="C537" s="67"/>
      <c r="D537" s="67"/>
      <c r="E537" s="67"/>
      <c r="F537" s="67"/>
      <c r="G537" s="67"/>
      <c r="H537" s="67"/>
      <c r="I537" s="36">
        <f t="shared" si="2"/>
        <v>0</v>
      </c>
      <c r="J537" s="36"/>
      <c r="K537" s="36"/>
      <c r="L537" s="302"/>
      <c r="M537" s="191"/>
      <c r="N537" s="286" t="s">
        <v>1540</v>
      </c>
      <c r="O537" s="286">
        <v>71</v>
      </c>
      <c r="P537" s="286">
        <v>4.5</v>
      </c>
      <c r="Q537" s="12" t="s">
        <v>1245</v>
      </c>
    </row>
    <row r="538" spans="1:17" ht="12.5">
      <c r="A538" s="60" t="s">
        <v>1155</v>
      </c>
      <c r="B538" s="287" t="str">
        <f>HYPERLINK("https://uva.onlinejudge.org/index.php?option=com_onlinejudge&amp;Itemid=8&amp;page=show_problem&amp;problem=504","UVA 563")</f>
        <v>UVA 563</v>
      </c>
      <c r="C538" s="67"/>
      <c r="D538" s="67"/>
      <c r="E538" s="67"/>
      <c r="F538" s="67"/>
      <c r="G538" s="67"/>
      <c r="H538" s="67"/>
      <c r="I538" s="36">
        <f t="shared" si="2"/>
        <v>0</v>
      </c>
      <c r="J538" s="36"/>
      <c r="K538" s="36"/>
      <c r="L538" s="302"/>
      <c r="M538" s="216" t="str">
        <f>HYPERLINK("https://github.com/BRAINOOOO/CompetitiveProgramming/blob/d60a5d1364a8f6aba3cd785c1e5d7825bf3818bc/UVA/UVA%20563.Cpp","Sol")</f>
        <v>Sol</v>
      </c>
      <c r="N538" s="286" t="s">
        <v>1541</v>
      </c>
      <c r="O538" s="286">
        <v>71</v>
      </c>
      <c r="P538" s="286">
        <v>5.5</v>
      </c>
      <c r="Q538" s="12" t="s">
        <v>1270</v>
      </c>
    </row>
    <row r="539" spans="1:17" ht="12.5">
      <c r="A539" s="60" t="s">
        <v>1091</v>
      </c>
      <c r="B539" s="287" t="str">
        <f>HYPERLINK("http://www.spoj.com/problems/IM","SPOJ IM")</f>
        <v>SPOJ IM</v>
      </c>
      <c r="C539" s="67"/>
      <c r="D539" s="67"/>
      <c r="E539" s="67"/>
      <c r="F539" s="67"/>
      <c r="G539" s="67"/>
      <c r="H539" s="67"/>
      <c r="I539" s="36">
        <f t="shared" si="2"/>
        <v>0</v>
      </c>
      <c r="J539" s="36"/>
      <c r="K539" s="36"/>
      <c r="L539" s="67"/>
      <c r="M539" s="301" t="str">
        <f>HYPERLINK("https://github.com/mostafa-saad/MyCompetitiveProgramming/blob/master/SPOJ/SPOJ_IM.txt","Sol")</f>
        <v>Sol</v>
      </c>
      <c r="N539" s="286" t="s">
        <v>1542</v>
      </c>
      <c r="O539" s="286">
        <v>71</v>
      </c>
      <c r="P539" s="286">
        <v>5.5</v>
      </c>
      <c r="Q539" s="12" t="s">
        <v>1243</v>
      </c>
    </row>
    <row r="540" spans="1:17" ht="12.5">
      <c r="A540" s="60" t="s">
        <v>1090</v>
      </c>
      <c r="B540" s="287" t="str">
        <f>HYPERLINK("https://uva.onlinejudge.org/index.php?option=onlinejudge&amp;page=show_problem&amp;problem=694","UVA 753")</f>
        <v>UVA 753</v>
      </c>
      <c r="C540" s="67"/>
      <c r="D540" s="67"/>
      <c r="E540" s="67"/>
      <c r="F540" s="67"/>
      <c r="G540" s="67"/>
      <c r="H540" s="67"/>
      <c r="I540" s="36">
        <f t="shared" si="2"/>
        <v>0</v>
      </c>
      <c r="J540" s="36"/>
      <c r="K540" s="36"/>
      <c r="L540" s="67"/>
      <c r="M540" s="301" t="str">
        <f>HYPERLINK("https://github.com/BRAINOOOO/CompetitiveProgramming/blob/master/UVA/V-7/UVA%20753.Cpp","Sol")</f>
        <v>Sol</v>
      </c>
      <c r="N540" s="286" t="s">
        <v>1543</v>
      </c>
      <c r="O540" s="286">
        <v>71</v>
      </c>
      <c r="P540" s="286">
        <v>5.5</v>
      </c>
      <c r="Q540" s="12" t="s">
        <v>1243</v>
      </c>
    </row>
    <row r="541" spans="1:17" ht="12.5">
      <c r="A541" s="60" t="s">
        <v>1212</v>
      </c>
      <c r="B541" s="287" t="str">
        <f>HYPERLINK("https://uva.onlinejudge.org/index.php?option=com_onlinejudge&amp;Itemid=8&amp;page=show_problem&amp;problem=3277","UVA 12125")</f>
        <v>UVA 12125</v>
      </c>
      <c r="C541" s="67"/>
      <c r="D541" s="67"/>
      <c r="E541" s="67"/>
      <c r="F541" s="67"/>
      <c r="G541" s="67"/>
      <c r="H541" s="67"/>
      <c r="I541" s="36">
        <f t="shared" si="2"/>
        <v>0</v>
      </c>
      <c r="J541" s="36"/>
      <c r="K541" s="36"/>
      <c r="L541" s="302"/>
      <c r="M541" s="216" t="str">
        <f>HYPERLINK("https://github.com/mostafa-saad/MyCompetitiveProgramming/blob/master/UVA/UVA_12125.txt","Sol")</f>
        <v>Sol</v>
      </c>
      <c r="N541" s="286" t="s">
        <v>1539</v>
      </c>
      <c r="O541" s="286">
        <v>71</v>
      </c>
      <c r="P541" s="286">
        <v>6</v>
      </c>
    </row>
    <row r="542" spans="1:17" ht="12.5">
      <c r="A542" s="60" t="s">
        <v>1087</v>
      </c>
      <c r="B542" s="287" t="str">
        <f>HYPERLINK("https://uva.onlinejudge.org/index.php?option=com_onlinejudge&amp;Itemid=8&amp;page=show_problem&amp;problem=1021","UVA 10080")</f>
        <v>UVA 10080</v>
      </c>
      <c r="C542" s="67"/>
      <c r="D542" s="67"/>
      <c r="E542" s="67"/>
      <c r="F542" s="67"/>
      <c r="G542" s="67"/>
      <c r="H542" s="67"/>
      <c r="I542" s="36">
        <f t="shared" si="2"/>
        <v>0</v>
      </c>
      <c r="J542" s="36"/>
      <c r="K542" s="36"/>
      <c r="L542" s="67"/>
      <c r="M542" s="301" t="str">
        <f>HYPERLINK("https://github.com/ilyesG/Competitive-Programming/blob/master/UVA/UVA%2010080.cpp","Sol")</f>
        <v>Sol</v>
      </c>
      <c r="N542" s="286" t="s">
        <v>1544</v>
      </c>
      <c r="O542" s="286">
        <v>72</v>
      </c>
      <c r="P542" s="286">
        <v>4</v>
      </c>
    </row>
    <row r="543" spans="1:17" ht="12.5">
      <c r="A543" s="60" t="s">
        <v>1088</v>
      </c>
      <c r="B543" s="287" t="str">
        <f>HYPERLINK("https://uva.onlinejudge.org/index.php?option=com_onlinejudge&amp;Itemid=8&amp;page=show_problem&amp;problem=195","UVA 259")</f>
        <v>UVA 259</v>
      </c>
      <c r="C543" s="67"/>
      <c r="D543" s="67"/>
      <c r="E543" s="67"/>
      <c r="F543" s="67"/>
      <c r="G543" s="67"/>
      <c r="H543" s="67"/>
      <c r="I543" s="36">
        <f t="shared" si="2"/>
        <v>0</v>
      </c>
      <c r="J543" s="36"/>
      <c r="K543" s="36"/>
      <c r="L543" s="67"/>
      <c r="M543" s="301" t="str">
        <f>HYPERLINK("https://github.com/mostafa-saad/MyCompetitiveProgramming/blob/master/UVA/UVA_259.txt","Sol")</f>
        <v>Sol</v>
      </c>
      <c r="N543" s="286" t="s">
        <v>1545</v>
      </c>
      <c r="O543" s="286">
        <v>72</v>
      </c>
      <c r="P543" s="286">
        <v>4.5</v>
      </c>
    </row>
    <row r="544" spans="1:17" ht="12.5">
      <c r="A544" s="60"/>
      <c r="B544" s="60" t="s">
        <v>1101</v>
      </c>
      <c r="C544" s="67"/>
      <c r="D544" s="67"/>
      <c r="E544" s="67"/>
      <c r="F544" s="67"/>
      <c r="G544" s="67"/>
      <c r="H544" s="67"/>
      <c r="I544" s="36">
        <f t="shared" si="2"/>
        <v>0</v>
      </c>
      <c r="J544" s="67"/>
      <c r="K544" s="67"/>
      <c r="L544" s="67"/>
      <c r="M544" s="300" t="str">
        <f>HYPERLINK("https://github.com/tanmoy13/CompetitveProgramming/blob/master/Online-Judge-Solutions/UVA/670%20-%20The%20dog%20task.cpp","Sol")</f>
        <v>Sol</v>
      </c>
      <c r="N544" s="286" t="s">
        <v>1544</v>
      </c>
      <c r="O544" s="286">
        <v>72</v>
      </c>
      <c r="P544" s="286">
        <v>5</v>
      </c>
      <c r="Q544" s="12" t="s">
        <v>1245</v>
      </c>
    </row>
    <row r="545" spans="1:17" ht="12.5">
      <c r="A545" s="60"/>
      <c r="B545" s="60" t="s">
        <v>1100</v>
      </c>
      <c r="C545" s="67"/>
      <c r="D545" s="67"/>
      <c r="E545" s="67"/>
      <c r="F545" s="67"/>
      <c r="G545" s="67"/>
      <c r="H545" s="67"/>
      <c r="I545" s="36">
        <f t="shared" si="2"/>
        <v>0</v>
      </c>
      <c r="J545" s="67"/>
      <c r="K545" s="67"/>
      <c r="L545" s="67"/>
      <c r="M545" s="300" t="str">
        <f>HYPERLINK("https://github.com/AhmedRamadanAbdElghany/CompetitiveProgramming/blob/master/UVA/1184.cpp","Sol")</f>
        <v>Sol</v>
      </c>
      <c r="N545" s="286" t="s">
        <v>1546</v>
      </c>
      <c r="O545" s="286">
        <v>72</v>
      </c>
      <c r="P545" s="286">
        <v>5</v>
      </c>
      <c r="Q545" s="12" t="s">
        <v>1243</v>
      </c>
    </row>
    <row r="546" spans="1:17" ht="12.5">
      <c r="A546" s="60"/>
      <c r="B546" s="60" t="s">
        <v>1092</v>
      </c>
      <c r="C546" s="67"/>
      <c r="D546" s="67"/>
      <c r="E546" s="67"/>
      <c r="F546" s="67"/>
      <c r="G546" s="67"/>
      <c r="H546" s="67"/>
      <c r="I546" s="36">
        <f t="shared" si="2"/>
        <v>0</v>
      </c>
      <c r="J546" s="36"/>
      <c r="K546" s="36"/>
      <c r="L546" s="67"/>
      <c r="M546" s="301" t="str">
        <f>HYPERLINK("https://github.com/ilyesG/Competitive-Programming/blob/master/UVA/UVA%201194.cpp","Sol")</f>
        <v>Sol</v>
      </c>
      <c r="N546" s="286" t="s">
        <v>1547</v>
      </c>
      <c r="O546" s="286">
        <v>72</v>
      </c>
      <c r="P546" s="286">
        <v>5.5</v>
      </c>
      <c r="Q546" s="12" t="s">
        <v>1270</v>
      </c>
    </row>
    <row r="547" spans="1:17" ht="12.5">
      <c r="A547" s="60"/>
      <c r="B547" s="287" t="str">
        <f>HYPERLINK("https://uva.onlinejudge.org/index.php?option=onlinejudge&amp;page=show_problem&amp;problem=1290","UVA 10349")</f>
        <v>UVA 10349</v>
      </c>
      <c r="C547" s="67"/>
      <c r="D547" s="67"/>
      <c r="E547" s="67"/>
      <c r="F547" s="67"/>
      <c r="G547" s="67"/>
      <c r="H547" s="67"/>
      <c r="I547" s="36">
        <f t="shared" si="2"/>
        <v>0</v>
      </c>
      <c r="J547" s="36"/>
      <c r="K547" s="36"/>
      <c r="L547" s="67"/>
      <c r="M547" s="301" t="str">
        <f>HYPERLINK("https://github.com/mostafa-saad/MyCompetitiveProgramming/blob/master/UVA/UVA_10349.txt","Sol - 2 ways")</f>
        <v>Sol - 2 ways</v>
      </c>
      <c r="N547" s="286" t="s">
        <v>1548</v>
      </c>
      <c r="O547" s="286">
        <v>72</v>
      </c>
      <c r="P547" s="286">
        <v>5.5</v>
      </c>
      <c r="Q547" s="12" t="s">
        <v>1245</v>
      </c>
    </row>
    <row r="548" spans="1:17" ht="12.5">
      <c r="A548" s="60"/>
      <c r="B548" s="287" t="str">
        <f>HYPERLINK("https://uva.onlinejudge.org/index.php?option=com_onlinejudge&amp;Itemid=8&amp;page=show_problem&amp;problem=2100","UVA 11159")</f>
        <v>UVA 11159</v>
      </c>
      <c r="C548" s="67"/>
      <c r="D548" s="67"/>
      <c r="E548" s="67"/>
      <c r="F548" s="67"/>
      <c r="G548" s="67"/>
      <c r="H548" s="67"/>
      <c r="I548" s="36">
        <f t="shared" si="2"/>
        <v>0</v>
      </c>
      <c r="J548" s="36"/>
      <c r="K548" s="36"/>
      <c r="L548" s="67"/>
      <c r="M548" s="301" t="str">
        <f>HYPERLINK("https://github.com/mostafa-saad/MyCompetitiveProgramming/blob/master/UVA/UVA_11159.txt","Sol")</f>
        <v>Sol</v>
      </c>
      <c r="N548" s="286" t="s">
        <v>1549</v>
      </c>
      <c r="O548" s="286">
        <v>72</v>
      </c>
      <c r="P548" s="286">
        <v>5.5</v>
      </c>
      <c r="Q548" s="12" t="s">
        <v>1245</v>
      </c>
    </row>
    <row r="549" spans="1:17" ht="12.5">
      <c r="A549" s="60"/>
      <c r="B549" s="60" t="s">
        <v>1089</v>
      </c>
      <c r="C549" s="67"/>
      <c r="D549" s="67"/>
      <c r="E549" s="67"/>
      <c r="F549" s="67"/>
      <c r="G549" s="67"/>
      <c r="H549" s="67"/>
      <c r="I549" s="36">
        <f t="shared" si="2"/>
        <v>0</v>
      </c>
      <c r="J549" s="36"/>
      <c r="K549" s="36"/>
      <c r="L549" s="67"/>
      <c r="M549" s="301" t="str">
        <f>HYPERLINK("https://github.com/BRAINOOOO/CompetitiveProgramming/blob/master/UVA/V-121/UVA%2012168.Cpp","Sol")</f>
        <v>Sol</v>
      </c>
      <c r="N549" s="286" t="s">
        <v>1550</v>
      </c>
      <c r="O549" s="286">
        <v>72</v>
      </c>
      <c r="P549" s="286">
        <v>6</v>
      </c>
      <c r="Q549" s="12" t="s">
        <v>1245</v>
      </c>
    </row>
    <row r="550" spans="1:17" ht="12.5">
      <c r="A550" s="60"/>
      <c r="B550" s="60" t="s">
        <v>1153</v>
      </c>
      <c r="C550" s="67"/>
      <c r="D550" s="67"/>
      <c r="E550" s="67"/>
      <c r="F550" s="67"/>
      <c r="G550" s="67"/>
      <c r="H550" s="67"/>
      <c r="I550" s="36">
        <f t="shared" si="2"/>
        <v>0</v>
      </c>
      <c r="J550" s="36"/>
      <c r="K550" s="36"/>
      <c r="L550" s="302"/>
      <c r="M550" s="216" t="str">
        <f>HYPERLINK("https://github.com/BRAINOOOO/CompetitiveProgramming/blob/master/Spoj/SPOJ%20QUEST4.Cpp","Sol")</f>
        <v>Sol</v>
      </c>
      <c r="N550" s="286" t="s">
        <v>1544</v>
      </c>
      <c r="O550" s="286">
        <v>72</v>
      </c>
      <c r="P550" s="286">
        <v>6</v>
      </c>
      <c r="Q550" s="12" t="s">
        <v>1243</v>
      </c>
    </row>
    <row r="551" spans="1:17" ht="12.5">
      <c r="A551" s="60"/>
      <c r="B551" s="60" t="s">
        <v>1184</v>
      </c>
      <c r="C551" s="67"/>
      <c r="D551" s="67"/>
      <c r="E551" s="67"/>
      <c r="F551" s="67"/>
      <c r="G551" s="67"/>
      <c r="H551" s="67"/>
      <c r="I551" s="36">
        <f t="shared" si="2"/>
        <v>0</v>
      </c>
      <c r="J551" s="36"/>
      <c r="K551" s="36"/>
      <c r="L551" s="302"/>
      <c r="M551" s="216" t="str">
        <f>HYPERLINK("https://github.com/BRAINOOOO/CompetitiveProgramming/blob/master/UVA/V-6/UVA%20663.Cpp","Sol")</f>
        <v>Sol</v>
      </c>
      <c r="N551" s="286" t="s">
        <v>1544</v>
      </c>
      <c r="O551" s="286">
        <v>72</v>
      </c>
      <c r="P551" s="286">
        <v>6</v>
      </c>
      <c r="Q551" s="12" t="s">
        <v>1239</v>
      </c>
    </row>
    <row r="552" spans="1:17" ht="12.5">
      <c r="A552" s="60" t="s">
        <v>1110</v>
      </c>
      <c r="B552" s="287" t="str">
        <f>HYPERLINK("https://uva.onlinejudge.org/index.php?option=onlinejudge&amp;page=show_problem&amp;problem=1421","UVA 10480")</f>
        <v>UVA 10480</v>
      </c>
      <c r="C552" s="67"/>
      <c r="D552" s="67"/>
      <c r="E552" s="67"/>
      <c r="F552" s="67"/>
      <c r="G552" s="67"/>
      <c r="H552" s="67"/>
      <c r="I552" s="36">
        <f t="shared" si="2"/>
        <v>0</v>
      </c>
      <c r="J552" s="36"/>
      <c r="K552" s="36"/>
      <c r="L552" s="67"/>
      <c r="M552" s="216" t="str">
        <f>HYPERLINK("https://github.com/abdullaAshraf/Problem-Solving/blob/master/UVA/10480.cpp","Sol")</f>
        <v>Sol</v>
      </c>
      <c r="N552" s="286" t="s">
        <v>1551</v>
      </c>
      <c r="O552" s="286">
        <v>74</v>
      </c>
      <c r="P552" s="286">
        <v>4.5</v>
      </c>
      <c r="Q552" s="12" t="s">
        <v>1239</v>
      </c>
    </row>
    <row r="553" spans="1:17" ht="12.5">
      <c r="A553" s="60" t="s">
        <v>1124</v>
      </c>
      <c r="B553" s="287" t="str">
        <f>HYPERLINK("http://acm.zju.edu.cn/onlinejudge/showProblem.do?problemCode=2587","ZOJ 2587")</f>
        <v>ZOJ 2587</v>
      </c>
      <c r="C553" s="67"/>
      <c r="D553" s="67"/>
      <c r="E553" s="67"/>
      <c r="F553" s="67"/>
      <c r="G553" s="67"/>
      <c r="H553" s="67"/>
      <c r="I553" s="36">
        <f t="shared" si="2"/>
        <v>0</v>
      </c>
      <c r="J553" s="36"/>
      <c r="K553" s="36"/>
      <c r="L553" s="302"/>
      <c r="M553" s="300" t="str">
        <f>HYPERLINK("https://github.com/WaleedAbdelhakim/Competitive-Programming/blob/master/ZOJ/2587.cpp","Sol")</f>
        <v>Sol</v>
      </c>
      <c r="N553" s="286" t="s">
        <v>1552</v>
      </c>
      <c r="O553" s="286">
        <v>74</v>
      </c>
      <c r="P553" s="286">
        <v>5</v>
      </c>
      <c r="Q553" s="12" t="s">
        <v>1243</v>
      </c>
    </row>
    <row r="554" spans="1:17" ht="12.5">
      <c r="A554" s="60" t="s">
        <v>1208</v>
      </c>
      <c r="B554" s="287" t="str">
        <f>HYPERLINK("https://uva.onlinejudge.org/index.php?option=onlinejudge&amp;page=show_problem&amp;problem=2501","UVA 11506")</f>
        <v>UVA 11506</v>
      </c>
      <c r="C554" s="67"/>
      <c r="D554" s="67"/>
      <c r="E554" s="67"/>
      <c r="F554" s="67"/>
      <c r="G554" s="67"/>
      <c r="H554" s="67"/>
      <c r="I554" s="36">
        <f t="shared" si="2"/>
        <v>0</v>
      </c>
      <c r="J554" s="36"/>
      <c r="K554" s="36"/>
      <c r="L554" s="302"/>
      <c r="M554" s="216" t="str">
        <f>HYPERLINK("https://github.com/abdullaAshraf/Problem-Solving/blob/master/UVA/11506.cpp","Sol")</f>
        <v>Sol</v>
      </c>
      <c r="N554" s="286" t="s">
        <v>1553</v>
      </c>
      <c r="O554" s="286">
        <v>74</v>
      </c>
      <c r="P554" s="286">
        <v>5.25</v>
      </c>
      <c r="Q554" s="12" t="s">
        <v>1245</v>
      </c>
    </row>
    <row r="555" spans="1:17" ht="12.5">
      <c r="A555" s="287" t="str">
        <f>HYPERLINK("https://community.topcoder.com/stat?c=problem_statement&amp;pm=10580","PeopleYouMayKnow")</f>
        <v>PeopleYouMayKnow</v>
      </c>
      <c r="B555" s="60" t="s">
        <v>1213</v>
      </c>
      <c r="C555" s="67"/>
      <c r="D555" s="67"/>
      <c r="E555" s="67"/>
      <c r="F555" s="67"/>
      <c r="G555" s="67"/>
      <c r="H555" s="67"/>
      <c r="I555" s="36">
        <f t="shared" si="2"/>
        <v>0</v>
      </c>
      <c r="J555" s="36"/>
      <c r="K555" s="36"/>
      <c r="L555" s="302"/>
      <c r="M555" s="301" t="str">
        <f>HYPERLINK("https://github.com/MohamedNabil97/CompetitiveProgramming/blob/master/TopCoder/SRM447-D1-500.cpp","Don't use DP. Check it later in editorial. Sol")</f>
        <v>Don't use DP. Check it later in editorial. Sol</v>
      </c>
      <c r="N555" s="286" t="s">
        <v>1554</v>
      </c>
      <c r="O555" s="286">
        <v>74</v>
      </c>
      <c r="P555" s="286">
        <v>5.5</v>
      </c>
      <c r="Q555" s="12" t="s">
        <v>1245</v>
      </c>
    </row>
    <row r="556" spans="1:17" ht="12.5">
      <c r="A556" s="60"/>
      <c r="B556" s="60" t="s">
        <v>1167</v>
      </c>
      <c r="C556" s="67"/>
      <c r="D556" s="67"/>
      <c r="E556" s="67"/>
      <c r="F556" s="67"/>
      <c r="G556" s="67"/>
      <c r="H556" s="67"/>
      <c r="I556" s="36">
        <f t="shared" si="2"/>
        <v>0</v>
      </c>
      <c r="J556" s="36"/>
      <c r="K556" s="36"/>
      <c r="L556" s="302"/>
      <c r="M556" s="216" t="str">
        <f>HYPERLINK("https://github.com/Huvok/CompetitiveProgramming/blob/master/SPOJ/COCONUTS.cpp","Sol")</f>
        <v>Sol</v>
      </c>
      <c r="N556" s="286" t="s">
        <v>1555</v>
      </c>
      <c r="O556" s="286">
        <v>74</v>
      </c>
      <c r="P556" s="286">
        <v>6</v>
      </c>
      <c r="Q556" s="12" t="s">
        <v>1245</v>
      </c>
    </row>
    <row r="557" spans="1:17" ht="12.5">
      <c r="A557" s="60"/>
      <c r="B557" s="60" t="s">
        <v>1135</v>
      </c>
      <c r="C557" s="67"/>
      <c r="D557" s="67"/>
      <c r="E557" s="67"/>
      <c r="F557" s="67"/>
      <c r="G557" s="67"/>
      <c r="H557" s="67"/>
      <c r="I557" s="36">
        <f t="shared" si="2"/>
        <v>0</v>
      </c>
      <c r="J557" s="67"/>
      <c r="K557" s="67"/>
      <c r="L557" s="302"/>
      <c r="M557" s="216" t="str">
        <f>HYPERLINK("https://github.com/yazanKabbany/CompetitiveProgramming/blob/master/Topcoder/SRM465-D1-500.cpp","Sol")</f>
        <v>Sol</v>
      </c>
      <c r="N557" s="286" t="s">
        <v>1555</v>
      </c>
      <c r="O557" s="286">
        <v>74</v>
      </c>
      <c r="P557" s="286">
        <v>6.25</v>
      </c>
      <c r="Q557" s="12" t="s">
        <v>1245</v>
      </c>
    </row>
    <row r="558" spans="1:17" ht="12.5">
      <c r="A558" s="60" t="s">
        <v>472</v>
      </c>
      <c r="B558" s="287" t="str">
        <f>HYPERLINK("https://uva.onlinejudge.org/index.php?option=com_onlinejudge&amp;Itemid=8&amp;page=show_problem&amp;problem=1088","UVA 10147")</f>
        <v>UVA 10147</v>
      </c>
      <c r="C558" s="67"/>
      <c r="D558" s="67"/>
      <c r="E558" s="67"/>
      <c r="F558" s="67"/>
      <c r="G558" s="67"/>
      <c r="H558" s="67"/>
      <c r="I558" s="36">
        <f t="shared" si="2"/>
        <v>0</v>
      </c>
      <c r="J558" s="36"/>
      <c r="K558" s="36"/>
      <c r="L558" s="67"/>
      <c r="M558" s="137" t="str">
        <f>HYPERLINK("https://www.youtube.com/watch?v=yNkLz4OVXtI","Video Solution - Eng Mahmoud Adel")</f>
        <v>Video Solution - Eng Mahmoud Adel</v>
      </c>
      <c r="N558" s="286" t="s">
        <v>1556</v>
      </c>
      <c r="O558" s="286">
        <v>76</v>
      </c>
      <c r="P558" s="286">
        <v>3</v>
      </c>
    </row>
    <row r="559" spans="1:17" ht="12.5">
      <c r="A559" s="60" t="s">
        <v>743</v>
      </c>
      <c r="B559" s="287" t="str">
        <f>HYPERLINK("https://uva.onlinejudge.org/index.php?option=onlinejudge&amp;page=show_problem&amp;problem=1403","UVA 10462")</f>
        <v>UVA 10462</v>
      </c>
      <c r="C559" s="67"/>
      <c r="D559" s="67"/>
      <c r="E559" s="67"/>
      <c r="F559" s="67"/>
      <c r="G559" s="67"/>
      <c r="H559" s="67"/>
      <c r="I559" s="36">
        <f t="shared" si="2"/>
        <v>0</v>
      </c>
      <c r="J559" s="67"/>
      <c r="K559" s="67"/>
      <c r="L559" s="67"/>
      <c r="M559" s="134" t="s">
        <v>632</v>
      </c>
      <c r="N559" s="286" t="s">
        <v>1557</v>
      </c>
      <c r="O559" s="286">
        <v>76</v>
      </c>
      <c r="P559" s="286">
        <v>3</v>
      </c>
    </row>
    <row r="560" spans="1:17" ht="12.5">
      <c r="A560" s="60"/>
      <c r="B560" s="60" t="s">
        <v>592</v>
      </c>
      <c r="C560" s="67"/>
      <c r="D560" s="67"/>
      <c r="E560" s="67"/>
      <c r="F560" s="67"/>
      <c r="G560" s="67"/>
      <c r="H560" s="67"/>
      <c r="I560" s="36">
        <f t="shared" si="2"/>
        <v>0</v>
      </c>
      <c r="J560" s="67"/>
      <c r="K560" s="67"/>
      <c r="L560" s="67"/>
      <c r="M560" s="301" t="str">
        <f>HYPERLINK("https://www.geeksforgeeks.org/total-number-spanning-trees-graph/","Theory result to read")</f>
        <v>Theory result to read</v>
      </c>
      <c r="N560" s="286" t="s">
        <v>1558</v>
      </c>
      <c r="O560" s="286">
        <v>76</v>
      </c>
      <c r="P560" s="286">
        <v>4</v>
      </c>
      <c r="Q560" s="12" t="s">
        <v>1243</v>
      </c>
    </row>
    <row r="561" spans="1:17" ht="12.5">
      <c r="A561" s="60" t="s">
        <v>473</v>
      </c>
      <c r="B561" s="287" t="str">
        <f>HYPERLINK("https://uva.onlinejudge.org/index.php?option=com_onlinejudge&amp;Itemid=8&amp;page=show_problem&amp;problem=1541","UVA 10600")</f>
        <v>UVA 10600</v>
      </c>
      <c r="C561" s="67"/>
      <c r="D561" s="67"/>
      <c r="E561" s="67"/>
      <c r="F561" s="67"/>
      <c r="G561" s="67"/>
      <c r="H561" s="67"/>
      <c r="I561" s="36">
        <f t="shared" si="2"/>
        <v>0</v>
      </c>
      <c r="J561" s="36"/>
      <c r="K561" s="36"/>
      <c r="L561" s="67"/>
      <c r="M561" s="137" t="str">
        <f>HYPERLINK("https://www.youtube.com/watch?v=94EApxauQQE&amp;feature=youtu.be","Video Solution - Eng Moaz Rashad")</f>
        <v>Video Solution - Eng Moaz Rashad</v>
      </c>
      <c r="N561" s="286" t="s">
        <v>1557</v>
      </c>
      <c r="O561" s="286">
        <v>76</v>
      </c>
      <c r="P561" s="286">
        <v>4.5</v>
      </c>
      <c r="Q561" s="12" t="s">
        <v>1239</v>
      </c>
    </row>
    <row r="562" spans="1:17" ht="12.5">
      <c r="A562" s="287" t="str">
        <f>HYPERLINK("https://community.topcoder.com/stat?c=problem_statement&amp;pm=11049&amp;rd=14245","TimeTravellingSalesman")</f>
        <v>TimeTravellingSalesman</v>
      </c>
      <c r="B562" s="60" t="s">
        <v>1211</v>
      </c>
      <c r="C562" s="67"/>
      <c r="D562" s="67"/>
      <c r="E562" s="67"/>
      <c r="F562" s="67"/>
      <c r="G562" s="67"/>
      <c r="H562" s="67"/>
      <c r="I562" s="36">
        <f t="shared" si="2"/>
        <v>0</v>
      </c>
      <c r="J562" s="36"/>
      <c r="K562" s="36"/>
      <c r="L562" s="302"/>
      <c r="M562" s="191"/>
      <c r="N562" s="286" t="s">
        <v>1556</v>
      </c>
      <c r="O562" s="286">
        <v>76</v>
      </c>
      <c r="P562" s="286">
        <v>5</v>
      </c>
      <c r="Q562" s="12" t="s">
        <v>1245</v>
      </c>
    </row>
    <row r="563" spans="1:17" ht="12.5">
      <c r="A563" s="60"/>
      <c r="B563" s="287" t="str">
        <f>HYPERLINK("http://codeforces.com/contest/472/problem/D","CF472-D12-D")</f>
        <v>CF472-D12-D</v>
      </c>
      <c r="C563" s="67"/>
      <c r="D563" s="67"/>
      <c r="E563" s="67"/>
      <c r="F563" s="67"/>
      <c r="G563" s="67"/>
      <c r="H563" s="67"/>
      <c r="I563" s="36">
        <f t="shared" si="2"/>
        <v>0</v>
      </c>
      <c r="J563" s="67"/>
      <c r="K563" s="67"/>
      <c r="L563" s="67"/>
      <c r="M563" s="191"/>
      <c r="N563" s="286" t="s">
        <v>1559</v>
      </c>
      <c r="O563" s="286">
        <v>76</v>
      </c>
      <c r="P563" s="286">
        <v>5</v>
      </c>
      <c r="Q563" s="12" t="s">
        <v>1245</v>
      </c>
    </row>
    <row r="564" spans="1:17" ht="12.5">
      <c r="A564" s="60" t="s">
        <v>1189</v>
      </c>
      <c r="B564" s="287" t="str">
        <f>HYPERLINK("https://uva.onlinejudge.org/index.php?option=com_onlinejudge&amp;Itemid=8&amp;page=show_problem&amp;problem=3675","UVA 1234")</f>
        <v>UVA 1234</v>
      </c>
      <c r="C564" s="67"/>
      <c r="D564" s="67"/>
      <c r="E564" s="67"/>
      <c r="F564" s="67"/>
      <c r="G564" s="67"/>
      <c r="H564" s="67"/>
      <c r="I564" s="36">
        <f t="shared" si="2"/>
        <v>0</v>
      </c>
      <c r="J564" s="36"/>
      <c r="K564" s="36"/>
      <c r="L564" s="302"/>
      <c r="M564" s="216" t="str">
        <f>HYPERLINK("https://github.com/MohamedNabil97/CompetitiveProgramming/tree/master/UVA/1234.cpp","Sol")</f>
        <v>Sol</v>
      </c>
      <c r="N564" s="286" t="s">
        <v>1560</v>
      </c>
      <c r="O564" s="286">
        <v>76</v>
      </c>
      <c r="P564" s="286">
        <v>5</v>
      </c>
      <c r="Q564" s="12" t="s">
        <v>1243</v>
      </c>
    </row>
    <row r="565" spans="1:17" ht="12.5">
      <c r="A565" s="60" t="s">
        <v>475</v>
      </c>
      <c r="B565" s="287" t="str">
        <f>HYPERLINK("https://uva.onlinejudge.org/index.php?option=com_onlinejudge&amp;Itemid=8&amp;page=show_problem&amp;problem=1310","UVA 10369")</f>
        <v>UVA 10369</v>
      </c>
      <c r="C565" s="67"/>
      <c r="D565" s="67"/>
      <c r="E565" s="67"/>
      <c r="F565" s="67"/>
      <c r="G565" s="67"/>
      <c r="H565" s="67"/>
      <c r="I565" s="36">
        <f t="shared" si="2"/>
        <v>0</v>
      </c>
      <c r="J565" s="36"/>
      <c r="K565" s="36"/>
      <c r="L565" s="67"/>
      <c r="M565" s="60"/>
      <c r="N565" s="286" t="s">
        <v>1561</v>
      </c>
      <c r="O565" s="286">
        <v>76</v>
      </c>
      <c r="P565" s="286">
        <v>5</v>
      </c>
      <c r="Q565" s="12" t="s">
        <v>1243</v>
      </c>
    </row>
    <row r="566" spans="1:17" ht="12.5">
      <c r="A566" s="287" t="str">
        <f>HYPERLINK("https://community.topcoder.com/stat?c=problem_statement&amp;pm=11282&amp;rd=14724","KingdomReorganization")</f>
        <v>KingdomReorganization</v>
      </c>
      <c r="B566" s="60" t="s">
        <v>1185</v>
      </c>
      <c r="C566" s="67"/>
      <c r="D566" s="67"/>
      <c r="E566" s="67"/>
      <c r="F566" s="67"/>
      <c r="G566" s="67"/>
      <c r="H566" s="67"/>
      <c r="I566" s="36">
        <f t="shared" si="2"/>
        <v>0</v>
      </c>
      <c r="J566" s="36"/>
      <c r="K566" s="36"/>
      <c r="L566" s="302"/>
      <c r="M566" s="191"/>
      <c r="N566" s="286" t="s">
        <v>1556</v>
      </c>
      <c r="O566" s="286">
        <v>76</v>
      </c>
      <c r="P566" s="286">
        <v>5</v>
      </c>
      <c r="Q566" s="12" t="s">
        <v>1239</v>
      </c>
    </row>
    <row r="567" spans="1:17" ht="12.5">
      <c r="A567" s="60" t="s">
        <v>985</v>
      </c>
      <c r="B567" s="287" t="str">
        <f>HYPERLINK("http://codeforces.com/contest/606/problem/D","CF606-D2-D")</f>
        <v>CF606-D2-D</v>
      </c>
      <c r="C567" s="67"/>
      <c r="D567" s="67"/>
      <c r="E567" s="67"/>
      <c r="F567" s="67"/>
      <c r="G567" s="67"/>
      <c r="H567" s="67"/>
      <c r="I567" s="36">
        <f t="shared" si="2"/>
        <v>0</v>
      </c>
      <c r="J567" s="67"/>
      <c r="K567" s="67"/>
      <c r="L567" s="67"/>
      <c r="M567" s="28"/>
      <c r="N567" s="286" t="s">
        <v>1556</v>
      </c>
      <c r="O567" s="286">
        <v>76</v>
      </c>
      <c r="P567" s="286">
        <v>5</v>
      </c>
    </row>
    <row r="568" spans="1:17" ht="12.5">
      <c r="A568" s="287" t="str">
        <f>HYPERLINK("https://community.topcoder.com/stat?c=problem_statement&amp;pm=10750&amp;rd=14153","ActivateGame")</f>
        <v>ActivateGame</v>
      </c>
      <c r="B568" s="60" t="s">
        <v>1190</v>
      </c>
      <c r="C568" s="67"/>
      <c r="D568" s="67"/>
      <c r="E568" s="67"/>
      <c r="F568" s="67"/>
      <c r="G568" s="67"/>
      <c r="H568" s="67"/>
      <c r="I568" s="36">
        <f t="shared" si="2"/>
        <v>0</v>
      </c>
      <c r="J568" s="36"/>
      <c r="K568" s="36"/>
      <c r="L568" s="302"/>
      <c r="M568" s="191"/>
      <c r="N568" s="286" t="s">
        <v>1556</v>
      </c>
      <c r="O568" s="286">
        <v>76</v>
      </c>
      <c r="P568" s="286">
        <v>5.25</v>
      </c>
    </row>
    <row r="569" spans="1:17" ht="12.5">
      <c r="A569" s="60" t="s">
        <v>1188</v>
      </c>
      <c r="B569" s="287" t="str">
        <f>HYPERLINK("https://icpcarchive.ecs.baylor.edu/index.php?option=onlinejudge&amp;page=show_problem&amp;problem=2327","LIVEARCHIVE 4326")</f>
        <v>LIVEARCHIVE 4326</v>
      </c>
      <c r="C569" s="67"/>
      <c r="D569" s="67"/>
      <c r="E569" s="67"/>
      <c r="F569" s="67"/>
      <c r="G569" s="67"/>
      <c r="H569" s="67"/>
      <c r="I569" s="36">
        <f t="shared" si="2"/>
        <v>0</v>
      </c>
      <c r="J569" s="36"/>
      <c r="K569" s="36"/>
      <c r="L569" s="302"/>
      <c r="M569" s="191"/>
      <c r="N569" s="286" t="s">
        <v>1562</v>
      </c>
      <c r="O569" s="286">
        <v>76</v>
      </c>
      <c r="P569" s="286">
        <v>6</v>
      </c>
    </row>
    <row r="570" spans="1:17" ht="12.5">
      <c r="A570" s="60" t="s">
        <v>1105</v>
      </c>
      <c r="B570" s="287" t="str">
        <f>HYPERLINK("http://www.spoj.com/problems/BOTTOM/","SPOJ BOTTOM")</f>
        <v>SPOJ BOTTOM</v>
      </c>
      <c r="C570" s="67"/>
      <c r="D570" s="67"/>
      <c r="E570" s="67"/>
      <c r="F570" s="67"/>
      <c r="G570" s="67"/>
      <c r="H570" s="67"/>
      <c r="I570" s="36">
        <f t="shared" si="2"/>
        <v>0</v>
      </c>
      <c r="J570" s="36"/>
      <c r="K570" s="36"/>
      <c r="L570" s="67"/>
      <c r="M570" s="216" t="str">
        <f>HYPERLINK("https://github.com/BRAINOOOO/CompetitiveProgramming/blob/master/Spoj/SPOJ%20BOTTOM.Cpp","Sol")</f>
        <v>Sol</v>
      </c>
      <c r="N570" s="286" t="s">
        <v>1563</v>
      </c>
      <c r="O570" s="286">
        <v>77</v>
      </c>
      <c r="P570" s="286">
        <v>3</v>
      </c>
    </row>
    <row r="571" spans="1:17" ht="12.5">
      <c r="A571" s="60" t="s">
        <v>1106</v>
      </c>
      <c r="B571" s="287" t="str">
        <f>HYPERLINK("https://uva.onlinejudge.org/index.php?option=onlinejudge&amp;page=show_problem&amp;problem=1672","UVA 10731")</f>
        <v>UVA 10731</v>
      </c>
      <c r="C571" s="67"/>
      <c r="D571" s="67"/>
      <c r="E571" s="67"/>
      <c r="F571" s="67"/>
      <c r="G571" s="67"/>
      <c r="H571" s="67"/>
      <c r="I571" s="36">
        <f t="shared" si="2"/>
        <v>0</v>
      </c>
      <c r="J571" s="67"/>
      <c r="K571" s="67"/>
      <c r="L571" s="67"/>
      <c r="M571" s="216" t="str">
        <f>HYPERLINK("https://github.com/goar5670/CompetitiveProgramming/blob/master/UVA%2010731.cpp","Sol")</f>
        <v>Sol</v>
      </c>
      <c r="N571" s="286" t="s">
        <v>1563</v>
      </c>
      <c r="O571" s="286">
        <v>77</v>
      </c>
      <c r="P571" s="286">
        <v>3.5</v>
      </c>
    </row>
    <row r="572" spans="1:17" ht="12.5">
      <c r="A572" s="60" t="s">
        <v>1131</v>
      </c>
      <c r="B572" s="287" t="str">
        <f>HYPERLINK("https://uva.onlinejudge.org/index.php?option=onlinejudge&amp;page=show_problem&amp;problem=2499","UVA 11504")</f>
        <v>UVA 11504</v>
      </c>
      <c r="C572" s="67"/>
      <c r="D572" s="67"/>
      <c r="E572" s="67"/>
      <c r="F572" s="67"/>
      <c r="G572" s="67"/>
      <c r="H572" s="67"/>
      <c r="I572" s="36">
        <f t="shared" si="2"/>
        <v>0</v>
      </c>
      <c r="J572" s="67"/>
      <c r="K572" s="67"/>
      <c r="L572" s="302"/>
      <c r="M572" s="216" t="str">
        <f>HYPERLINK("https://github.com/mostafa-saad/MyCompetitiveProgramming/blob/master/UVA/UVA_11504.txt","Sol")</f>
        <v>Sol</v>
      </c>
      <c r="N572" s="286" t="s">
        <v>1564</v>
      </c>
      <c r="O572" s="286">
        <v>77</v>
      </c>
      <c r="P572" s="286">
        <v>4.5</v>
      </c>
      <c r="Q572" s="12" t="s">
        <v>1239</v>
      </c>
    </row>
    <row r="573" spans="1:17" ht="12.5">
      <c r="A573" s="60"/>
      <c r="B573" s="287" t="str">
        <f>HYPERLINK("http://codeforces.com/contest/467/problem/D","CF467-D2-D")</f>
        <v>CF467-D2-D</v>
      </c>
      <c r="C573" s="67"/>
      <c r="D573" s="67"/>
      <c r="E573" s="67"/>
      <c r="F573" s="67"/>
      <c r="G573" s="67"/>
      <c r="H573" s="67"/>
      <c r="I573" s="36">
        <f t="shared" si="2"/>
        <v>0</v>
      </c>
      <c r="J573" s="67"/>
      <c r="K573" s="67"/>
      <c r="L573" s="67"/>
      <c r="M573" s="191"/>
      <c r="N573" s="286" t="s">
        <v>1565</v>
      </c>
      <c r="O573" s="286">
        <v>77</v>
      </c>
      <c r="P573" s="286">
        <v>5</v>
      </c>
    </row>
    <row r="574" spans="1:17" ht="12.5">
      <c r="A574" s="60"/>
      <c r="B574" s="60" t="s">
        <v>1107</v>
      </c>
      <c r="C574" s="67"/>
      <c r="D574" s="67"/>
      <c r="E574" s="67"/>
      <c r="F574" s="67"/>
      <c r="G574" s="67"/>
      <c r="H574" s="67"/>
      <c r="I574" s="36">
        <f t="shared" si="2"/>
        <v>0</v>
      </c>
      <c r="J574" s="67"/>
      <c r="K574" s="67"/>
      <c r="L574" s="67"/>
      <c r="M574" s="191"/>
      <c r="N574" s="286" t="s">
        <v>1566</v>
      </c>
      <c r="O574" s="286">
        <v>77</v>
      </c>
      <c r="P574" s="286">
        <v>5.5</v>
      </c>
      <c r="Q574" s="12" t="s">
        <v>1243</v>
      </c>
    </row>
    <row r="575" spans="1:17" ht="12.5">
      <c r="A575" s="60" t="s">
        <v>1129</v>
      </c>
      <c r="B575" s="287" t="str">
        <f>HYPERLINK("https://uva.onlinejudge.org/index.php?option=com_onlinejudge&amp;Itemid=8&amp;page=show_problem&amp;problem=3319","UVA 12167")</f>
        <v>UVA 12167</v>
      </c>
      <c r="C575" s="67"/>
      <c r="D575" s="67"/>
      <c r="E575" s="67"/>
      <c r="F575" s="67"/>
      <c r="G575" s="67"/>
      <c r="H575" s="67"/>
      <c r="I575" s="36">
        <f t="shared" si="2"/>
        <v>0</v>
      </c>
      <c r="J575" s="36"/>
      <c r="K575" s="36"/>
      <c r="L575" s="302"/>
      <c r="M575" s="216" t="str">
        <f>HYPERLINK("https://github.com/abdullaAshraf/Problem-Solving/blob/master/UVA/12167.cpp","Sol")</f>
        <v>Sol</v>
      </c>
      <c r="N575" s="286" t="s">
        <v>1563</v>
      </c>
      <c r="O575" s="286">
        <v>77</v>
      </c>
      <c r="P575" s="286">
        <v>5.5</v>
      </c>
    </row>
    <row r="576" spans="1:17" ht="12.5">
      <c r="A576" s="60"/>
      <c r="B576" s="60" t="s">
        <v>1112</v>
      </c>
      <c r="C576" s="67"/>
      <c r="D576" s="67"/>
      <c r="E576" s="67"/>
      <c r="F576" s="67"/>
      <c r="G576" s="67"/>
      <c r="H576" s="67"/>
      <c r="I576" s="36">
        <f t="shared" si="2"/>
        <v>0</v>
      </c>
      <c r="J576" s="67"/>
      <c r="K576" s="67"/>
      <c r="L576" s="67"/>
      <c r="M576" s="216" t="str">
        <f>HYPERLINK("https://github.com/mostafa-saad/MyCompetitiveProgramming/blob/master/TopCoder/SRM608-D2-1000.txt","Sol")</f>
        <v>Sol</v>
      </c>
      <c r="N576" s="286" t="s">
        <v>1567</v>
      </c>
      <c r="O576" s="286"/>
      <c r="P576" s="286">
        <v>5.75</v>
      </c>
    </row>
    <row r="577" spans="1:17" ht="12.5">
      <c r="A577" s="60"/>
      <c r="B577" s="60" t="s">
        <v>1134</v>
      </c>
      <c r="C577" s="67"/>
      <c r="D577" s="67"/>
      <c r="E577" s="67"/>
      <c r="F577" s="67"/>
      <c r="G577" s="67"/>
      <c r="H577" s="67"/>
      <c r="I577" s="36">
        <f t="shared" si="2"/>
        <v>0</v>
      </c>
      <c r="J577" s="67"/>
      <c r="K577" s="67"/>
      <c r="L577" s="302"/>
      <c r="M577" s="191"/>
      <c r="N577" s="286" t="s">
        <v>1568</v>
      </c>
      <c r="O577" s="286">
        <v>77</v>
      </c>
      <c r="P577" s="286">
        <v>6</v>
      </c>
      <c r="Q577" s="12" t="s">
        <v>1245</v>
      </c>
    </row>
    <row r="578" spans="1:17" ht="12.5">
      <c r="A578" s="60"/>
      <c r="B578" s="60" t="s">
        <v>1157</v>
      </c>
      <c r="C578" s="67"/>
      <c r="D578" s="67"/>
      <c r="E578" s="67"/>
      <c r="F578" s="67"/>
      <c r="G578" s="67"/>
      <c r="H578" s="67"/>
      <c r="I578" s="36">
        <f t="shared" si="2"/>
        <v>0</v>
      </c>
      <c r="J578" s="36"/>
      <c r="K578" s="36"/>
      <c r="L578" s="302"/>
      <c r="M578" s="191"/>
      <c r="N578" s="286" t="s">
        <v>1569</v>
      </c>
      <c r="O578" s="286">
        <v>77</v>
      </c>
      <c r="P578" s="286">
        <v>6.25</v>
      </c>
      <c r="Q578" s="12"/>
    </row>
    <row r="579" spans="1:17" ht="12.5">
      <c r="A579" s="60"/>
      <c r="B579" s="287" t="str">
        <f>HYPERLINK("http://codeforces.com/contest/403/problem/C","CF403-D1-C")</f>
        <v>CF403-D1-C</v>
      </c>
      <c r="C579" s="67"/>
      <c r="D579" s="67"/>
      <c r="E579" s="67"/>
      <c r="F579" s="67"/>
      <c r="G579" s="67"/>
      <c r="H579" s="67"/>
      <c r="I579" s="36">
        <f t="shared" si="2"/>
        <v>0</v>
      </c>
      <c r="J579" s="36"/>
      <c r="K579" s="36"/>
      <c r="L579" s="302"/>
      <c r="M579" s="191"/>
      <c r="N579" s="286" t="s">
        <v>1570</v>
      </c>
      <c r="O579" s="286">
        <v>77</v>
      </c>
      <c r="P579" s="286">
        <v>6.25</v>
      </c>
      <c r="Q579" s="12" t="s">
        <v>1248</v>
      </c>
    </row>
    <row r="580" spans="1:17" ht="12.5">
      <c r="A580" s="60" t="s">
        <v>419</v>
      </c>
      <c r="B580" s="287" t="str">
        <f>HYPERLINK("http://codeforces.com/contest/810/problem/B","CF810-D2-B")</f>
        <v>CF810-D2-B</v>
      </c>
      <c r="C580" s="67"/>
      <c r="D580" s="67"/>
      <c r="E580" s="67"/>
      <c r="F580" s="67"/>
      <c r="G580" s="67"/>
      <c r="H580" s="67"/>
      <c r="I580" s="36">
        <f t="shared" si="2"/>
        <v>0</v>
      </c>
      <c r="J580" s="36"/>
      <c r="K580" s="36"/>
      <c r="L580" s="67"/>
      <c r="M580" s="290" t="str">
        <f>HYPERLINK("https://www.youtube.com/watch?v=cFqla_dXSBs","Video Solution - Solver to be (Java)")</f>
        <v>Video Solution - Solver to be (Java)</v>
      </c>
      <c r="N580" s="286" t="s">
        <v>1571</v>
      </c>
      <c r="O580" s="286">
        <v>84</v>
      </c>
      <c r="P580" s="191">
        <v>2</v>
      </c>
      <c r="Q580" s="12" t="s">
        <v>1243</v>
      </c>
    </row>
    <row r="581" spans="1:17" ht="12.5">
      <c r="A581" s="60" t="s">
        <v>492</v>
      </c>
      <c r="B581" s="287" t="str">
        <f>HYPERLINK("http://codeforces.com/contest/1009/problem/B","CF1009-D12-B")</f>
        <v>CF1009-D12-B</v>
      </c>
      <c r="C581" s="67"/>
      <c r="D581" s="67"/>
      <c r="E581" s="67"/>
      <c r="F581" s="67"/>
      <c r="G581" s="67"/>
      <c r="H581" s="67"/>
      <c r="I581" s="36">
        <f t="shared" si="2"/>
        <v>0</v>
      </c>
      <c r="J581" s="67"/>
      <c r="K581" s="67"/>
      <c r="L581" s="67"/>
      <c r="M581" s="60"/>
      <c r="N581" s="286" t="s">
        <v>1571</v>
      </c>
      <c r="O581" s="286">
        <v>84</v>
      </c>
      <c r="P581" s="191">
        <v>2</v>
      </c>
    </row>
    <row r="582" spans="1:17" ht="12.5">
      <c r="A582" s="60" t="s">
        <v>599</v>
      </c>
      <c r="B582" s="287" t="str">
        <f>HYPERLINK("http://codeforces.com/contest/479/problem/B","CF479-D2-B")</f>
        <v>CF479-D2-B</v>
      </c>
      <c r="C582" s="67"/>
      <c r="D582" s="67"/>
      <c r="E582" s="67"/>
      <c r="F582" s="67"/>
      <c r="G582" s="67"/>
      <c r="H582" s="67"/>
      <c r="I582" s="36">
        <f t="shared" si="2"/>
        <v>0</v>
      </c>
      <c r="J582" s="67"/>
      <c r="K582" s="67"/>
      <c r="L582" s="67"/>
      <c r="M582" s="296"/>
      <c r="N582" s="286" t="s">
        <v>1571</v>
      </c>
      <c r="O582" s="286">
        <v>84</v>
      </c>
      <c r="P582" s="191">
        <v>2</v>
      </c>
    </row>
    <row r="583" spans="1:17" ht="12.5">
      <c r="A583" s="60" t="s">
        <v>598</v>
      </c>
      <c r="B583" s="287" t="str">
        <f>HYPERLINK("http://codeforces.com/contest/378/problem/B","CF378-D2-B")</f>
        <v>CF378-D2-B</v>
      </c>
      <c r="C583" s="67"/>
      <c r="D583" s="67"/>
      <c r="E583" s="67"/>
      <c r="F583" s="67"/>
      <c r="G583" s="67"/>
      <c r="H583" s="67"/>
      <c r="I583" s="36">
        <f t="shared" si="2"/>
        <v>0</v>
      </c>
      <c r="J583" s="67"/>
      <c r="K583" s="67"/>
      <c r="L583" s="67"/>
      <c r="M583" s="296"/>
      <c r="N583" s="312" t="s">
        <v>1571</v>
      </c>
      <c r="O583" s="312">
        <v>84</v>
      </c>
      <c r="P583" s="191">
        <v>2</v>
      </c>
    </row>
    <row r="584" spans="1:17" ht="12.5">
      <c r="A584" s="60" t="s">
        <v>593</v>
      </c>
      <c r="B584" s="287" t="str">
        <f>HYPERLINK("http://codeforces.com/contest/437/problem/B","CF437-D2-B")</f>
        <v>CF437-D2-B</v>
      </c>
      <c r="C584" s="67"/>
      <c r="D584" s="67"/>
      <c r="E584" s="67"/>
      <c r="F584" s="67"/>
      <c r="G584" s="67"/>
      <c r="H584" s="67"/>
      <c r="I584" s="36">
        <f t="shared" si="2"/>
        <v>0</v>
      </c>
      <c r="J584" s="67"/>
      <c r="K584" s="67"/>
      <c r="L584" s="67"/>
      <c r="M584" s="28"/>
      <c r="N584" s="286" t="s">
        <v>1572</v>
      </c>
      <c r="O584" s="286">
        <v>84</v>
      </c>
      <c r="P584" s="191">
        <v>2.5</v>
      </c>
    </row>
    <row r="585" spans="1:17" ht="12.5">
      <c r="A585" s="60" t="s">
        <v>418</v>
      </c>
      <c r="B585" s="287" t="str">
        <f>HYPERLINK("http://codeforces.com/contest/451/problem/B","CF451-D2-B")</f>
        <v>CF451-D2-B</v>
      </c>
      <c r="C585" s="67"/>
      <c r="D585" s="67"/>
      <c r="E585" s="67"/>
      <c r="F585" s="67"/>
      <c r="G585" s="67"/>
      <c r="H585" s="67"/>
      <c r="I585" s="36">
        <f t="shared" si="2"/>
        <v>0</v>
      </c>
      <c r="J585" s="36"/>
      <c r="K585" s="36"/>
      <c r="L585" s="67"/>
      <c r="M585" s="290" t="str">
        <f>HYPERLINK("https://www.youtube.com/watch?v=I_WHkB7Aeeo","Video Solution - Solver to be (Java)")</f>
        <v>Video Solution - Solver to be (Java)</v>
      </c>
      <c r="N585" s="191" t="s">
        <v>1573</v>
      </c>
      <c r="O585" s="191">
        <v>84</v>
      </c>
      <c r="P585" s="286">
        <v>2.5</v>
      </c>
      <c r="Q585" s="12" t="s">
        <v>1243</v>
      </c>
    </row>
    <row r="586" spans="1:17" ht="12.5">
      <c r="A586" s="60" t="s">
        <v>421</v>
      </c>
      <c r="B586" s="287" t="str">
        <f>HYPERLINK("http://codeforces.com/contest/766/problem/B","CF766-D2-B")</f>
        <v>CF766-D2-B</v>
      </c>
      <c r="C586" s="67"/>
      <c r="D586" s="67"/>
      <c r="E586" s="67"/>
      <c r="F586" s="67"/>
      <c r="G586" s="67"/>
      <c r="H586" s="67"/>
      <c r="I586" s="36">
        <f t="shared" si="2"/>
        <v>0</v>
      </c>
      <c r="J586" s="36"/>
      <c r="K586" s="36"/>
      <c r="L586" s="67"/>
      <c r="M586" s="290" t="str">
        <f>HYPERLINK("https://www.youtube.com/watch?v=dCChUGZjaS4","Video Solution - Solver to be (Java)")</f>
        <v>Video Solution - Solver to be (Java)</v>
      </c>
      <c r="N586" s="191" t="s">
        <v>1571</v>
      </c>
      <c r="O586" s="191">
        <v>84</v>
      </c>
      <c r="P586" s="286">
        <v>2.5</v>
      </c>
      <c r="Q586" s="12" t="s">
        <v>1245</v>
      </c>
    </row>
    <row r="587" spans="1:17" ht="12.5">
      <c r="A587" s="60" t="s">
        <v>1067</v>
      </c>
      <c r="B587" s="287" t="str">
        <f>HYPERLINK("http://codeforces.com/contest/265/problem/C","CF265-D2-C")</f>
        <v>CF265-D2-C</v>
      </c>
      <c r="C587" s="67"/>
      <c r="D587" s="67"/>
      <c r="E587" s="67"/>
      <c r="F587" s="67"/>
      <c r="G587" s="67"/>
      <c r="H587" s="67"/>
      <c r="I587" s="36">
        <f t="shared" si="2"/>
        <v>0</v>
      </c>
      <c r="J587" s="67"/>
      <c r="K587" s="67"/>
      <c r="L587" s="67"/>
      <c r="M587" s="60"/>
      <c r="N587" s="286" t="s">
        <v>1574</v>
      </c>
      <c r="O587" s="286">
        <v>84</v>
      </c>
      <c r="P587" s="286">
        <v>3</v>
      </c>
    </row>
    <row r="588" spans="1:17" ht="12.5">
      <c r="A588" s="60" t="s">
        <v>1065</v>
      </c>
      <c r="B588" s="287" t="str">
        <f>HYPERLINK("http://codeforces.com/contest/363/problem/C","CF363-D2-C")</f>
        <v>CF363-D2-C</v>
      </c>
      <c r="C588" s="67"/>
      <c r="D588" s="67"/>
      <c r="E588" s="67"/>
      <c r="F588" s="67"/>
      <c r="G588" s="67"/>
      <c r="H588" s="67"/>
      <c r="I588" s="36">
        <f t="shared" si="2"/>
        <v>0</v>
      </c>
      <c r="J588" s="67"/>
      <c r="K588" s="67"/>
      <c r="L588" s="67"/>
      <c r="M588" s="60"/>
      <c r="N588" s="286" t="s">
        <v>1574</v>
      </c>
      <c r="O588" s="286">
        <v>84</v>
      </c>
      <c r="P588" s="286">
        <v>3</v>
      </c>
    </row>
    <row r="589" spans="1:17" ht="12.5">
      <c r="A589" s="60" t="s">
        <v>972</v>
      </c>
      <c r="B589" s="287" t="str">
        <f>HYPERLINK("http://codeforces.com/contest/203/problem/C","CF203-D2-C")</f>
        <v>CF203-D2-C</v>
      </c>
      <c r="C589" s="67"/>
      <c r="D589" s="67"/>
      <c r="E589" s="67"/>
      <c r="F589" s="67"/>
      <c r="G589" s="67"/>
      <c r="H589" s="67"/>
      <c r="I589" s="36">
        <f t="shared" si="2"/>
        <v>0</v>
      </c>
      <c r="J589" s="67"/>
      <c r="K589" s="67"/>
      <c r="L589" s="67"/>
      <c r="M589" s="28"/>
      <c r="N589" s="286" t="s">
        <v>1573</v>
      </c>
      <c r="O589" s="286">
        <v>84</v>
      </c>
      <c r="P589" s="286">
        <v>3</v>
      </c>
    </row>
    <row r="590" spans="1:17" ht="12.5">
      <c r="A590" s="60" t="s">
        <v>497</v>
      </c>
      <c r="B590" s="287" t="str">
        <f>HYPERLINK("http://codeforces.com/contest/416/problem/C","CF416-D2-C")</f>
        <v>CF416-D2-C</v>
      </c>
      <c r="C590" s="67"/>
      <c r="D590" s="67"/>
      <c r="E590" s="67"/>
      <c r="F590" s="67"/>
      <c r="G590" s="67"/>
      <c r="H590" s="67"/>
      <c r="I590" s="36">
        <f t="shared" si="2"/>
        <v>0</v>
      </c>
      <c r="J590" s="36"/>
      <c r="K590" s="36"/>
      <c r="L590" s="67"/>
      <c r="M590" s="28"/>
      <c r="N590" s="286" t="s">
        <v>1575</v>
      </c>
      <c r="O590" s="286">
        <v>84</v>
      </c>
      <c r="P590" s="286">
        <v>3.5</v>
      </c>
      <c r="Q590" s="12" t="s">
        <v>1245</v>
      </c>
    </row>
    <row r="591" spans="1:17" ht="12.5">
      <c r="A591" s="60" t="s">
        <v>675</v>
      </c>
      <c r="B591" s="287" t="str">
        <f>HYPERLINK("http://codeforces.com/contest/979/problem/B","CF979-D2-B")</f>
        <v>CF979-D2-B</v>
      </c>
      <c r="C591" s="67"/>
      <c r="D591" s="67"/>
      <c r="E591" s="67"/>
      <c r="F591" s="67"/>
      <c r="G591" s="67"/>
      <c r="H591" s="67"/>
      <c r="I591" s="36">
        <f t="shared" si="2"/>
        <v>0</v>
      </c>
      <c r="J591" s="67"/>
      <c r="K591" s="67"/>
      <c r="L591" s="67"/>
      <c r="M591" s="60"/>
      <c r="N591" s="286" t="s">
        <v>1576</v>
      </c>
      <c r="O591" s="286">
        <v>84</v>
      </c>
      <c r="P591" s="286">
        <v>3.5</v>
      </c>
      <c r="Q591" s="12" t="s">
        <v>1239</v>
      </c>
    </row>
    <row r="592" spans="1:17" ht="12.5">
      <c r="A592" s="60" t="s">
        <v>616</v>
      </c>
      <c r="B592" s="287" t="str">
        <f>HYPERLINK("https://uva.onlinejudge.org/index.php?option=onlinejudge&amp;page=show_problem&amp;problem=3276","UVA 12124")</f>
        <v>UVA 12124</v>
      </c>
      <c r="C592" s="67"/>
      <c r="D592" s="67"/>
      <c r="E592" s="67"/>
      <c r="F592" s="67"/>
      <c r="G592" s="67"/>
      <c r="H592" s="67"/>
      <c r="I592" s="36">
        <f t="shared" si="2"/>
        <v>0</v>
      </c>
      <c r="J592" s="36"/>
      <c r="K592" s="36"/>
      <c r="L592" s="67"/>
      <c r="M592" s="301" t="str">
        <f>HYPERLINK("https://github.com/mostafa-saad/MyCompetitiveProgramming/blob/master/UVA/UVA_12124.txt","Sol")</f>
        <v>Sol</v>
      </c>
      <c r="N592" s="286" t="s">
        <v>1577</v>
      </c>
      <c r="O592" s="286">
        <v>84</v>
      </c>
      <c r="P592" s="286">
        <v>4</v>
      </c>
      <c r="Q592" s="12"/>
    </row>
    <row r="593" spans="1:17" ht="12.5">
      <c r="A593" s="60"/>
      <c r="B593" s="287" t="str">
        <f>HYPERLINK("https://www.codechef.com/problems/KSUM","CODECHEF KSUM")</f>
        <v>CODECHEF KSUM</v>
      </c>
      <c r="C593" s="67"/>
      <c r="D593" s="67"/>
      <c r="E593" s="67"/>
      <c r="F593" s="67"/>
      <c r="G593" s="67"/>
      <c r="H593" s="67"/>
      <c r="I593" s="36">
        <f t="shared" si="2"/>
        <v>0</v>
      </c>
      <c r="J593" s="67"/>
      <c r="K593" s="67"/>
      <c r="L593" s="67"/>
      <c r="M593" s="296"/>
      <c r="N593" s="286" t="s">
        <v>1578</v>
      </c>
      <c r="O593" s="286">
        <v>84</v>
      </c>
      <c r="P593" s="286">
        <v>4</v>
      </c>
      <c r="Q593" s="12" t="s">
        <v>1245</v>
      </c>
    </row>
    <row r="594" spans="1:17" ht="12.5">
      <c r="A594" s="60"/>
      <c r="B594" s="287" t="str">
        <f>HYPERLINK("https://codeforces.com/contest/1064/problem/C","CF1064-D2-C")</f>
        <v>CF1064-D2-C</v>
      </c>
      <c r="C594" s="67"/>
      <c r="D594" s="67"/>
      <c r="E594" s="67"/>
      <c r="F594" s="67"/>
      <c r="G594" s="67"/>
      <c r="H594" s="67"/>
      <c r="I594" s="36">
        <f t="shared" si="2"/>
        <v>0</v>
      </c>
      <c r="J594" s="67"/>
      <c r="K594" s="67"/>
      <c r="L594" s="67"/>
      <c r="M594" s="28"/>
      <c r="N594" s="286" t="s">
        <v>1579</v>
      </c>
      <c r="O594" s="286">
        <v>84</v>
      </c>
      <c r="P594" s="286">
        <v>4</v>
      </c>
      <c r="Q594" s="12" t="s">
        <v>1245</v>
      </c>
    </row>
    <row r="595" spans="1:17" ht="12.5">
      <c r="A595" s="60"/>
      <c r="B595" s="287" t="str">
        <f>HYPERLINK("http://codeforces.com/contest/534/problem/D","CF534-D2-D")</f>
        <v>CF534-D2-D</v>
      </c>
      <c r="C595" s="67"/>
      <c r="D595" s="67"/>
      <c r="E595" s="67"/>
      <c r="F595" s="67"/>
      <c r="G595" s="67"/>
      <c r="H595" s="67"/>
      <c r="I595" s="36">
        <f t="shared" si="2"/>
        <v>0</v>
      </c>
      <c r="J595" s="67"/>
      <c r="K595" s="67"/>
      <c r="L595" s="67"/>
      <c r="M595" s="60"/>
      <c r="N595" s="286" t="s">
        <v>1580</v>
      </c>
      <c r="O595" s="286">
        <v>84</v>
      </c>
      <c r="P595" s="286">
        <v>4</v>
      </c>
      <c r="Q595" s="12" t="s">
        <v>1243</v>
      </c>
    </row>
    <row r="596" spans="1:17" ht="12.5">
      <c r="A596" s="60"/>
      <c r="B596" s="287" t="str">
        <f>HYPERLINK("http://codeforces.com/contest/1065/problem/C","CF1065-D2-C")</f>
        <v>CF1065-D2-C</v>
      </c>
      <c r="C596" s="67"/>
      <c r="D596" s="67"/>
      <c r="E596" s="67"/>
      <c r="F596" s="67"/>
      <c r="G596" s="67"/>
      <c r="H596" s="67"/>
      <c r="I596" s="36">
        <f t="shared" si="2"/>
        <v>0</v>
      </c>
      <c r="J596" s="36"/>
      <c r="K596" s="36"/>
      <c r="L596" s="67"/>
      <c r="M596" s="28"/>
      <c r="N596" s="286" t="s">
        <v>1571</v>
      </c>
      <c r="O596" s="286">
        <v>84</v>
      </c>
      <c r="P596" s="286">
        <v>4</v>
      </c>
      <c r="Q596" s="12" t="s">
        <v>1243</v>
      </c>
    </row>
    <row r="597" spans="1:17" ht="12.5">
      <c r="A597" s="60"/>
      <c r="B597" s="287" t="str">
        <f>HYPERLINK("http://codeforces.com/contest/445/problem/C","CF445-D2-C")</f>
        <v>CF445-D2-C</v>
      </c>
      <c r="C597" s="67"/>
      <c r="D597" s="67"/>
      <c r="E597" s="67"/>
      <c r="F597" s="67"/>
      <c r="G597" s="67"/>
      <c r="H597" s="67"/>
      <c r="I597" s="36">
        <f t="shared" si="2"/>
        <v>0</v>
      </c>
      <c r="J597" s="36"/>
      <c r="K597" s="36"/>
      <c r="L597" s="67"/>
      <c r="M597" s="28"/>
      <c r="N597" s="286" t="s">
        <v>1571</v>
      </c>
      <c r="O597" s="286">
        <v>84</v>
      </c>
      <c r="P597" s="286">
        <v>4</v>
      </c>
      <c r="Q597" s="12" t="s">
        <v>1243</v>
      </c>
    </row>
    <row r="598" spans="1:17" ht="12.5">
      <c r="A598" s="60" t="s">
        <v>818</v>
      </c>
      <c r="B598" s="287" t="str">
        <f>HYPERLINK("http://codeforces.com/contest/567/problem/C","CF567-D2-C")</f>
        <v>CF567-D2-C</v>
      </c>
      <c r="C598" s="67"/>
      <c r="D598" s="67"/>
      <c r="E598" s="67"/>
      <c r="F598" s="67"/>
      <c r="G598" s="67"/>
      <c r="H598" s="67"/>
      <c r="I598" s="36">
        <f t="shared" si="2"/>
        <v>0</v>
      </c>
      <c r="J598" s="67"/>
      <c r="K598" s="67"/>
      <c r="L598" s="67"/>
      <c r="M598" s="28"/>
      <c r="N598" s="286" t="s">
        <v>1571</v>
      </c>
      <c r="O598" s="286">
        <v>84</v>
      </c>
      <c r="P598" s="286">
        <v>4</v>
      </c>
      <c r="Q598" s="12" t="s">
        <v>1243</v>
      </c>
    </row>
    <row r="599" spans="1:17" ht="12.5">
      <c r="A599" s="60"/>
      <c r="B599" s="60" t="s">
        <v>1020</v>
      </c>
      <c r="C599" s="67"/>
      <c r="D599" s="67"/>
      <c r="E599" s="67"/>
      <c r="F599" s="67"/>
      <c r="G599" s="67"/>
      <c r="H599" s="67"/>
      <c r="I599" s="36">
        <f t="shared" si="2"/>
        <v>0</v>
      </c>
      <c r="J599" s="67"/>
      <c r="K599" s="67"/>
      <c r="L599" s="67"/>
      <c r="M599" s="286"/>
      <c r="N599" s="286" t="s">
        <v>1581</v>
      </c>
      <c r="O599" s="286">
        <v>84</v>
      </c>
      <c r="P599" s="286">
        <v>4</v>
      </c>
      <c r="Q599" s="12" t="s">
        <v>1243</v>
      </c>
    </row>
    <row r="600" spans="1:17" ht="12.5">
      <c r="A600" s="60" t="s">
        <v>190</v>
      </c>
      <c r="B600" s="287" t="str">
        <f>HYPERLINK("http://codeforces.com/contest/401/problem/C","CF401-D2-C")</f>
        <v>CF401-D2-C</v>
      </c>
      <c r="C600" s="67"/>
      <c r="D600" s="67"/>
      <c r="E600" s="67"/>
      <c r="F600" s="67"/>
      <c r="G600" s="67"/>
      <c r="H600" s="67"/>
      <c r="I600" s="36">
        <f t="shared" si="2"/>
        <v>0</v>
      </c>
      <c r="J600" s="67"/>
      <c r="K600" s="67"/>
      <c r="L600" s="67"/>
      <c r="M600" s="28"/>
      <c r="N600" s="286" t="s">
        <v>1582</v>
      </c>
      <c r="O600" s="286">
        <v>84</v>
      </c>
      <c r="P600" s="286">
        <v>4</v>
      </c>
    </row>
    <row r="601" spans="1:17" ht="12.5">
      <c r="A601" s="60" t="s">
        <v>580</v>
      </c>
      <c r="B601" s="287" t="str">
        <f>HYPERLINK("http://codeforces.com/contest/515/problem/C","CF515-D2-C")</f>
        <v>CF515-D2-C</v>
      </c>
      <c r="C601" s="67"/>
      <c r="D601" s="67"/>
      <c r="E601" s="67"/>
      <c r="F601" s="67"/>
      <c r="G601" s="67"/>
      <c r="H601" s="67"/>
      <c r="I601" s="36">
        <f t="shared" si="2"/>
        <v>0</v>
      </c>
      <c r="J601" s="36"/>
      <c r="K601" s="36"/>
      <c r="L601" s="67"/>
      <c r="M601" s="290" t="str">
        <f>HYPERLINK("https://www.youtube.com/watch?v=QEh0ugyYPUw","Video Solution - Dr Mostafa Saad")</f>
        <v>Video Solution - Dr Mostafa Saad</v>
      </c>
      <c r="N601" s="286" t="s">
        <v>1581</v>
      </c>
      <c r="O601" s="286">
        <v>84</v>
      </c>
      <c r="P601" s="286">
        <v>4</v>
      </c>
    </row>
    <row r="602" spans="1:17" ht="12.5">
      <c r="A602" s="60" t="s">
        <v>918</v>
      </c>
      <c r="B602" s="287" t="str">
        <f>HYPERLINK("http://codeforces.com/contest/216/problem/C","CF216-D2-C")</f>
        <v>CF216-D2-C</v>
      </c>
      <c r="C602" s="67"/>
      <c r="D602" s="67"/>
      <c r="E602" s="67"/>
      <c r="F602" s="67"/>
      <c r="G602" s="67"/>
      <c r="H602" s="67"/>
      <c r="I602" s="36">
        <f t="shared" si="2"/>
        <v>0</v>
      </c>
      <c r="J602" s="36"/>
      <c r="K602" s="36"/>
      <c r="L602" s="67"/>
      <c r="M602" s="60"/>
      <c r="N602" s="286" t="s">
        <v>1571</v>
      </c>
      <c r="O602" s="286">
        <v>84</v>
      </c>
      <c r="P602" s="286">
        <v>4</v>
      </c>
    </row>
    <row r="603" spans="1:17" ht="12.5">
      <c r="A603" s="60" t="s">
        <v>691</v>
      </c>
      <c r="B603" s="287" t="str">
        <f>HYPERLINK("http://codeforces.com/contest/835/problem/C","CF835-D2-C")</f>
        <v>CF835-D2-C</v>
      </c>
      <c r="C603" s="67"/>
      <c r="D603" s="67"/>
      <c r="E603" s="67"/>
      <c r="F603" s="67"/>
      <c r="G603" s="67"/>
      <c r="H603" s="67"/>
      <c r="I603" s="36">
        <f t="shared" si="2"/>
        <v>0</v>
      </c>
      <c r="J603" s="36"/>
      <c r="K603" s="36"/>
      <c r="L603" s="67"/>
      <c r="M603" s="290" t="str">
        <f>HYPERLINK("https://www.youtube.com/watch?v=McKM0CgVLUM","Video Solution - Solver to be (Java)")</f>
        <v>Video Solution - Solver to be (Java)</v>
      </c>
      <c r="N603" s="286" t="s">
        <v>1583</v>
      </c>
      <c r="O603" s="286">
        <v>84</v>
      </c>
      <c r="P603" s="286">
        <v>4</v>
      </c>
    </row>
    <row r="604" spans="1:17" ht="12.5">
      <c r="A604" s="60" t="s">
        <v>498</v>
      </c>
      <c r="B604" s="287" t="str">
        <f>HYPERLINK("http://codeforces.com/contest/492/problem/C","CF492-D2-C")</f>
        <v>CF492-D2-C</v>
      </c>
      <c r="C604" s="67"/>
      <c r="D604" s="67"/>
      <c r="E604" s="67"/>
      <c r="F604" s="67"/>
      <c r="G604" s="67"/>
      <c r="H604" s="67"/>
      <c r="I604" s="36">
        <f t="shared" si="2"/>
        <v>0</v>
      </c>
      <c r="J604" s="36"/>
      <c r="K604" s="36"/>
      <c r="L604" s="67"/>
      <c r="M604" s="28"/>
      <c r="N604" s="286" t="s">
        <v>1573</v>
      </c>
      <c r="O604" s="286">
        <v>84</v>
      </c>
      <c r="P604" s="286">
        <v>4</v>
      </c>
    </row>
    <row r="605" spans="1:17" ht="12.5">
      <c r="A605" s="60"/>
      <c r="B605" s="163" t="s">
        <v>648</v>
      </c>
      <c r="C605" s="67"/>
      <c r="D605" s="67"/>
      <c r="E605" s="67"/>
      <c r="F605" s="67"/>
      <c r="G605" s="67"/>
      <c r="H605" s="67"/>
      <c r="I605" s="36">
        <f t="shared" si="2"/>
        <v>0</v>
      </c>
      <c r="J605" s="36"/>
      <c r="K605" s="36"/>
      <c r="L605" s="67"/>
      <c r="M605" s="116" t="s">
        <v>632</v>
      </c>
      <c r="N605" s="286" t="s">
        <v>1584</v>
      </c>
      <c r="O605" s="286">
        <v>84</v>
      </c>
      <c r="P605" s="286">
        <v>4.5</v>
      </c>
      <c r="Q605" s="12" t="s">
        <v>1245</v>
      </c>
    </row>
    <row r="606" spans="1:17" ht="12.5">
      <c r="A606" s="60"/>
      <c r="B606" s="287" t="str">
        <f>HYPERLINK("http://codeforces.com/contest/729/problem/D","CF729-D12-D")</f>
        <v>CF729-D12-D</v>
      </c>
      <c r="C606" s="67"/>
      <c r="D606" s="67"/>
      <c r="E606" s="67"/>
      <c r="F606" s="67"/>
      <c r="G606" s="67"/>
      <c r="H606" s="67"/>
      <c r="I606" s="36">
        <f t="shared" si="2"/>
        <v>0</v>
      </c>
      <c r="J606" s="67"/>
      <c r="K606" s="67"/>
      <c r="L606" s="67"/>
      <c r="M606" s="60"/>
      <c r="N606" s="286" t="s">
        <v>1585</v>
      </c>
      <c r="O606" s="286">
        <v>84</v>
      </c>
      <c r="P606" s="286">
        <v>4.5</v>
      </c>
      <c r="Q606" s="12" t="s">
        <v>1243</v>
      </c>
    </row>
    <row r="607" spans="1:17" ht="12.5">
      <c r="A607" s="60" t="s">
        <v>968</v>
      </c>
      <c r="B607" s="287" t="str">
        <f>HYPERLINK("http://codeforces.com/contest/519/problem/D","CF519-D2-D")</f>
        <v>CF519-D2-D</v>
      </c>
      <c r="C607" s="67"/>
      <c r="D607" s="67"/>
      <c r="E607" s="67"/>
      <c r="F607" s="67"/>
      <c r="G607" s="67"/>
      <c r="H607" s="67"/>
      <c r="I607" s="36">
        <f t="shared" si="2"/>
        <v>0</v>
      </c>
      <c r="J607" s="67"/>
      <c r="K607" s="67"/>
      <c r="L607" s="67"/>
      <c r="M607" s="28"/>
      <c r="N607" s="286" t="s">
        <v>1586</v>
      </c>
      <c r="O607" s="286">
        <v>84</v>
      </c>
      <c r="P607" s="286">
        <v>4.5</v>
      </c>
      <c r="Q607" s="12" t="s">
        <v>1243</v>
      </c>
    </row>
    <row r="608" spans="1:17" ht="12.5">
      <c r="A608" s="60" t="s">
        <v>653</v>
      </c>
      <c r="B608" s="287" t="str">
        <f>HYPERLINK("http://codeforces.com/contest/486/problem/C","CF486-D2-C")</f>
        <v>CF486-D2-C</v>
      </c>
      <c r="C608" s="67"/>
      <c r="D608" s="67"/>
      <c r="E608" s="67"/>
      <c r="F608" s="67"/>
      <c r="G608" s="67"/>
      <c r="H608" s="67"/>
      <c r="I608" s="36">
        <f t="shared" si="2"/>
        <v>0</v>
      </c>
      <c r="J608" s="36"/>
      <c r="K608" s="36"/>
      <c r="L608" s="67"/>
      <c r="M608" s="286"/>
      <c r="N608" s="286" t="s">
        <v>1587</v>
      </c>
      <c r="O608" s="286">
        <v>84</v>
      </c>
      <c r="P608" s="286">
        <v>4.5</v>
      </c>
      <c r="Q608" s="12" t="s">
        <v>1243</v>
      </c>
    </row>
    <row r="609" spans="1:17" ht="12.5">
      <c r="A609" s="60" t="s">
        <v>671</v>
      </c>
      <c r="B609" s="287" t="str">
        <f>HYPERLINK("http://codeforces.com/contest/584/problem/C","CF584-D2-C")</f>
        <v>CF584-D2-C</v>
      </c>
      <c r="C609" s="67"/>
      <c r="D609" s="67"/>
      <c r="E609" s="67"/>
      <c r="F609" s="67"/>
      <c r="G609" s="67"/>
      <c r="H609" s="67"/>
      <c r="I609" s="36">
        <f t="shared" si="2"/>
        <v>0</v>
      </c>
      <c r="J609" s="36"/>
      <c r="K609" s="36"/>
      <c r="L609" s="67"/>
      <c r="M609" s="28"/>
      <c r="N609" s="286" t="s">
        <v>1588</v>
      </c>
      <c r="O609" s="286">
        <v>84</v>
      </c>
      <c r="P609" s="286">
        <v>4.5</v>
      </c>
      <c r="Q609" s="12" t="s">
        <v>1239</v>
      </c>
    </row>
    <row r="610" spans="1:17" ht="12.5">
      <c r="A610" s="60" t="s">
        <v>668</v>
      </c>
      <c r="B610" s="287" t="str">
        <f>HYPERLINK("http://codeforces.com/contest/735/problem/C","CF735-D2-C")</f>
        <v>CF735-D2-C</v>
      </c>
      <c r="C610" s="67"/>
      <c r="D610" s="67"/>
      <c r="E610" s="67"/>
      <c r="F610" s="67"/>
      <c r="G610" s="67"/>
      <c r="H610" s="67"/>
      <c r="I610" s="36">
        <f t="shared" si="2"/>
        <v>0</v>
      </c>
      <c r="J610" s="36"/>
      <c r="K610" s="36"/>
      <c r="L610" s="67"/>
      <c r="M610" s="60"/>
      <c r="N610" s="286" t="s">
        <v>1589</v>
      </c>
      <c r="O610" s="286">
        <v>84</v>
      </c>
      <c r="P610" s="286">
        <v>4.5</v>
      </c>
      <c r="Q610" s="12" t="s">
        <v>1239</v>
      </c>
    </row>
    <row r="611" spans="1:17" ht="12.5">
      <c r="A611" s="60" t="s">
        <v>1206</v>
      </c>
      <c r="B611" s="287" t="str">
        <f>HYPERLINK("http://codeforces.com/contest/508/problem/C","CF508-D2-C")</f>
        <v>CF508-D2-C</v>
      </c>
      <c r="C611" s="67"/>
      <c r="D611" s="67"/>
      <c r="E611" s="67"/>
      <c r="F611" s="67"/>
      <c r="G611" s="67"/>
      <c r="H611" s="67"/>
      <c r="I611" s="36">
        <f t="shared" si="2"/>
        <v>0</v>
      </c>
      <c r="J611" s="67"/>
      <c r="K611" s="67"/>
      <c r="L611" s="302"/>
      <c r="M611" s="191"/>
      <c r="N611" s="286" t="s">
        <v>1571</v>
      </c>
      <c r="O611" s="286">
        <v>84</v>
      </c>
      <c r="P611" s="286">
        <v>4.5</v>
      </c>
    </row>
    <row r="612" spans="1:17" ht="12.5">
      <c r="A612" s="60" t="s">
        <v>779</v>
      </c>
      <c r="B612" s="287" t="str">
        <f>HYPERLINK("http://codeforces.com/contest/148/problem/C","CF148-D2-C")</f>
        <v>CF148-D2-C</v>
      </c>
      <c r="C612" s="67"/>
      <c r="D612" s="67"/>
      <c r="E612" s="67"/>
      <c r="F612" s="67"/>
      <c r="G612" s="67"/>
      <c r="H612" s="67"/>
      <c r="I612" s="36">
        <f t="shared" si="2"/>
        <v>0</v>
      </c>
      <c r="J612" s="36"/>
      <c r="K612" s="36"/>
      <c r="L612" s="67"/>
      <c r="M612" s="137" t="str">
        <f>HYPERLINK("https://www.youtube.com/watch?v=BX2HhPefv6g","Video Solution - Eng Mohamed Nasser")</f>
        <v>Video Solution - Eng Mohamed Nasser</v>
      </c>
      <c r="N612" s="286" t="s">
        <v>1582</v>
      </c>
      <c r="O612" s="286">
        <v>84</v>
      </c>
      <c r="P612" s="286">
        <v>4.5</v>
      </c>
    </row>
    <row r="613" spans="1:17" ht="12.5">
      <c r="A613" s="60" t="s">
        <v>939</v>
      </c>
      <c r="B613" s="287" t="str">
        <f>HYPERLINK("http://codeforces.com/contest/287/problem/C","CF287-D2-C")</f>
        <v>CF287-D2-C</v>
      </c>
      <c r="C613" s="67"/>
      <c r="D613" s="67"/>
      <c r="E613" s="67"/>
      <c r="F613" s="67"/>
      <c r="G613" s="67"/>
      <c r="H613" s="67"/>
      <c r="I613" s="36">
        <f t="shared" si="2"/>
        <v>0</v>
      </c>
      <c r="J613" s="67"/>
      <c r="K613" s="67"/>
      <c r="L613" s="67"/>
      <c r="M613" s="28"/>
      <c r="N613" s="286" t="s">
        <v>1582</v>
      </c>
      <c r="O613" s="286">
        <v>84</v>
      </c>
      <c r="P613" s="286">
        <v>4.5</v>
      </c>
    </row>
    <row r="614" spans="1:17" ht="12.5">
      <c r="A614" s="60" t="s">
        <v>749</v>
      </c>
      <c r="B614" s="287" t="str">
        <f>HYPERLINK("http://codeforces.com/contest/260/problem/C","CF260-D2-C")</f>
        <v>CF260-D2-C</v>
      </c>
      <c r="C614" s="67"/>
      <c r="D614" s="67"/>
      <c r="E614" s="67"/>
      <c r="F614" s="67"/>
      <c r="G614" s="67"/>
      <c r="H614" s="67"/>
      <c r="I614" s="36">
        <f t="shared" si="2"/>
        <v>0</v>
      </c>
      <c r="J614" s="36"/>
      <c r="K614" s="36"/>
      <c r="L614" s="67"/>
      <c r="M614" s="290" t="str">
        <f>HYPERLINK("https://www.youtube.com/watch?v=W3Zp3yqNsOs","Video Solution - Dr Mostafa Saad")</f>
        <v>Video Solution - Dr Mostafa Saad</v>
      </c>
      <c r="N614" s="286" t="s">
        <v>1574</v>
      </c>
      <c r="O614" s="286">
        <v>84</v>
      </c>
      <c r="P614" s="286">
        <v>4.5</v>
      </c>
    </row>
    <row r="615" spans="1:17" ht="12.5">
      <c r="A615" s="60"/>
      <c r="B615" s="287" t="str">
        <f>HYPERLINK("http://codeforces.com/contest/313/problem/C","CF313-D2-C")</f>
        <v>CF313-D2-C</v>
      </c>
      <c r="C615" s="67"/>
      <c r="D615" s="67"/>
      <c r="E615" s="67"/>
      <c r="F615" s="67"/>
      <c r="G615" s="67"/>
      <c r="H615" s="67"/>
      <c r="I615" s="36">
        <f t="shared" si="2"/>
        <v>0</v>
      </c>
      <c r="J615" s="36"/>
      <c r="K615" s="36"/>
      <c r="L615" s="67"/>
      <c r="M615" s="28"/>
      <c r="N615" s="286" t="s">
        <v>1582</v>
      </c>
      <c r="O615" s="286">
        <v>84</v>
      </c>
      <c r="P615" s="286">
        <v>5</v>
      </c>
      <c r="Q615" s="12"/>
    </row>
    <row r="616" spans="1:17" ht="12.5">
      <c r="A616" s="60" t="s">
        <v>1147</v>
      </c>
      <c r="B616" s="287" t="str">
        <f>HYPERLINK("http://codeforces.com/contest/402/problem/D","CF402-D2-D")</f>
        <v>CF402-D2-D</v>
      </c>
      <c r="C616" s="67"/>
      <c r="D616" s="67"/>
      <c r="E616" s="67"/>
      <c r="F616" s="67"/>
      <c r="G616" s="67"/>
      <c r="H616" s="67"/>
      <c r="I616" s="36">
        <f t="shared" si="2"/>
        <v>0</v>
      </c>
      <c r="J616" s="36"/>
      <c r="K616" s="36"/>
      <c r="L616" s="302"/>
      <c r="M616" s="28"/>
      <c r="N616" s="286" t="s">
        <v>1590</v>
      </c>
      <c r="O616" s="286">
        <v>84</v>
      </c>
      <c r="P616" s="286">
        <v>5</v>
      </c>
      <c r="Q616" s="12"/>
    </row>
    <row r="617" spans="1:17" ht="12.5">
      <c r="A617" s="60"/>
      <c r="B617" s="60" t="s">
        <v>951</v>
      </c>
      <c r="C617" s="67"/>
      <c r="D617" s="67"/>
      <c r="E617" s="67"/>
      <c r="F617" s="67"/>
      <c r="G617" s="67"/>
      <c r="H617" s="67"/>
      <c r="I617" s="36">
        <f t="shared" si="2"/>
        <v>0</v>
      </c>
      <c r="J617" s="36"/>
      <c r="K617" s="36"/>
      <c r="L617" s="67"/>
      <c r="M617" s="191"/>
      <c r="N617" s="286" t="s">
        <v>1591</v>
      </c>
      <c r="O617" s="286">
        <v>84</v>
      </c>
      <c r="P617" s="286">
        <v>5</v>
      </c>
      <c r="Q617" s="12" t="s">
        <v>1245</v>
      </c>
    </row>
    <row r="618" spans="1:17" ht="12.5">
      <c r="A618" s="60" t="s">
        <v>1003</v>
      </c>
      <c r="B618" s="287" t="str">
        <f>HYPERLINK("http://codeforces.com/contest/94/problem/D","CF94-D2-D")</f>
        <v>CF94-D2-D</v>
      </c>
      <c r="C618" s="67"/>
      <c r="D618" s="67"/>
      <c r="E618" s="67"/>
      <c r="F618" s="67"/>
      <c r="G618" s="67"/>
      <c r="H618" s="67"/>
      <c r="I618" s="36">
        <f t="shared" si="2"/>
        <v>0</v>
      </c>
      <c r="J618" s="36"/>
      <c r="K618" s="36"/>
      <c r="L618" s="67"/>
      <c r="M618" s="286"/>
      <c r="N618" s="286" t="s">
        <v>1592</v>
      </c>
      <c r="O618" s="286">
        <v>84</v>
      </c>
      <c r="P618" s="286">
        <v>5</v>
      </c>
      <c r="Q618" s="12" t="s">
        <v>1245</v>
      </c>
    </row>
    <row r="619" spans="1:17" ht="12.5">
      <c r="A619" s="60" t="s">
        <v>656</v>
      </c>
      <c r="B619" s="287" t="str">
        <f>HYPERLINK("http://codeforces.com/contest/141/problem/C","CF141-D2-C")</f>
        <v>CF141-D2-C</v>
      </c>
      <c r="C619" s="67"/>
      <c r="D619" s="67"/>
      <c r="E619" s="67"/>
      <c r="F619" s="67"/>
      <c r="G619" s="67"/>
      <c r="H619" s="67"/>
      <c r="I619" s="36">
        <f t="shared" si="2"/>
        <v>0</v>
      </c>
      <c r="J619" s="36"/>
      <c r="K619" s="36"/>
      <c r="L619" s="67"/>
      <c r="M619" s="60"/>
      <c r="N619" s="286" t="s">
        <v>1582</v>
      </c>
      <c r="O619" s="286">
        <v>84</v>
      </c>
      <c r="P619" s="286">
        <v>5</v>
      </c>
      <c r="Q619" s="12" t="s">
        <v>1243</v>
      </c>
    </row>
    <row r="620" spans="1:17" ht="12.5">
      <c r="A620" s="60"/>
      <c r="B620" s="287" t="str">
        <f>HYPERLINK("http://codeforces.com/problemsets/acmsguru/problem/99999/321","SGU 321")</f>
        <v>SGU 321</v>
      </c>
      <c r="C620" s="67"/>
      <c r="D620" s="67"/>
      <c r="E620" s="67"/>
      <c r="F620" s="67"/>
      <c r="G620" s="67"/>
      <c r="H620" s="67"/>
      <c r="I620" s="36">
        <f t="shared" si="2"/>
        <v>0</v>
      </c>
      <c r="J620" s="36"/>
      <c r="K620" s="36"/>
      <c r="L620" s="67"/>
      <c r="M620" s="290" t="str">
        <f>HYPERLINK("https://github.com/mostafa-saad/MyCompetitiveProgramming/blob/master/SGU/SGU_321.txt","Sol")</f>
        <v>Sol</v>
      </c>
      <c r="N620" s="286" t="s">
        <v>1593</v>
      </c>
      <c r="O620" s="286">
        <v>84</v>
      </c>
      <c r="P620" s="286">
        <v>5</v>
      </c>
      <c r="Q620" s="12" t="s">
        <v>1243</v>
      </c>
    </row>
    <row r="621" spans="1:17" ht="12.5">
      <c r="A621" s="60" t="s">
        <v>1225</v>
      </c>
      <c r="B621" s="287" t="str">
        <f>HYPERLINK("http://codeforces.com/contest/242/problem/D","CF242-D2-D")</f>
        <v>CF242-D2-D</v>
      </c>
      <c r="C621" s="67"/>
      <c r="D621" s="67"/>
      <c r="E621" s="67"/>
      <c r="F621" s="67"/>
      <c r="G621" s="67"/>
      <c r="H621" s="67"/>
      <c r="I621" s="36">
        <f t="shared" si="2"/>
        <v>0</v>
      </c>
      <c r="J621" s="67"/>
      <c r="K621" s="67"/>
      <c r="L621" s="67"/>
      <c r="M621" s="28"/>
      <c r="N621" s="286" t="s">
        <v>1594</v>
      </c>
      <c r="O621" s="286">
        <v>84</v>
      </c>
      <c r="P621" s="286">
        <v>5</v>
      </c>
      <c r="Q621" s="12" t="s">
        <v>1243</v>
      </c>
    </row>
    <row r="622" spans="1:17" ht="12.5">
      <c r="A622" s="60"/>
      <c r="B622" s="60" t="s">
        <v>916</v>
      </c>
      <c r="C622" s="67"/>
      <c r="D622" s="67"/>
      <c r="E622" s="67"/>
      <c r="F622" s="67"/>
      <c r="G622" s="67"/>
      <c r="H622" s="67"/>
      <c r="I622" s="36">
        <f t="shared" si="2"/>
        <v>0</v>
      </c>
      <c r="J622" s="36"/>
      <c r="K622" s="36"/>
      <c r="L622" s="67"/>
      <c r="M622" s="60"/>
      <c r="N622" s="286" t="s">
        <v>1595</v>
      </c>
      <c r="O622" s="286">
        <v>84</v>
      </c>
      <c r="P622" s="286">
        <v>5</v>
      </c>
      <c r="Q622" s="12" t="s">
        <v>1243</v>
      </c>
    </row>
    <row r="623" spans="1:17" ht="12.5">
      <c r="A623" s="60"/>
      <c r="B623" s="287" t="str">
        <f>HYPERLINK("http://codeforces.com/contest/1038/problem/D","CF1038-D2-D")</f>
        <v>CF1038-D2-D</v>
      </c>
      <c r="C623" s="67"/>
      <c r="D623" s="67"/>
      <c r="E623" s="67"/>
      <c r="F623" s="67"/>
      <c r="G623" s="67"/>
      <c r="H623" s="67"/>
      <c r="I623" s="36">
        <f t="shared" si="2"/>
        <v>0</v>
      </c>
      <c r="J623" s="67"/>
      <c r="K623" s="67"/>
      <c r="L623" s="67"/>
      <c r="M623" s="28"/>
      <c r="N623" s="286" t="s">
        <v>1574</v>
      </c>
      <c r="O623" s="286">
        <v>84</v>
      </c>
      <c r="P623" s="286">
        <v>5</v>
      </c>
      <c r="Q623" s="12" t="s">
        <v>1243</v>
      </c>
    </row>
    <row r="624" spans="1:17" ht="12.5">
      <c r="A624" s="60"/>
      <c r="B624" s="60" t="s">
        <v>930</v>
      </c>
      <c r="C624" s="67"/>
      <c r="D624" s="67"/>
      <c r="E624" s="67"/>
      <c r="F624" s="67"/>
      <c r="G624" s="67"/>
      <c r="H624" s="67"/>
      <c r="I624" s="36">
        <f t="shared" si="2"/>
        <v>0</v>
      </c>
      <c r="J624" s="67"/>
      <c r="K624" s="67"/>
      <c r="L624" s="67"/>
      <c r="M624" s="216" t="str">
        <f>HYPERLINK("https://github.com/yazanKabbany/CompetitiveProgramming/blob/master/UVA/UVA%2012325.cpp","Prove your Solution")</f>
        <v>Prove your Solution</v>
      </c>
      <c r="N624" s="286" t="s">
        <v>1596</v>
      </c>
      <c r="O624" s="286">
        <v>84</v>
      </c>
      <c r="P624" s="286">
        <v>5</v>
      </c>
      <c r="Q624" s="12" t="s">
        <v>1243</v>
      </c>
    </row>
    <row r="625" spans="1:17" ht="12.5">
      <c r="A625" s="60"/>
      <c r="B625" s="60" t="s">
        <v>917</v>
      </c>
      <c r="C625" s="67"/>
      <c r="D625" s="67"/>
      <c r="E625" s="67"/>
      <c r="F625" s="67"/>
      <c r="G625" s="67"/>
      <c r="H625" s="67"/>
      <c r="I625" s="36">
        <f t="shared" si="2"/>
        <v>0</v>
      </c>
      <c r="J625" s="36"/>
      <c r="K625" s="36"/>
      <c r="L625" s="67"/>
      <c r="M625" s="60"/>
      <c r="N625" s="286" t="s">
        <v>1597</v>
      </c>
      <c r="O625" s="286">
        <v>84</v>
      </c>
      <c r="P625" s="286">
        <v>5</v>
      </c>
      <c r="Q625" s="12" t="s">
        <v>1243</v>
      </c>
    </row>
    <row r="626" spans="1:17" ht="12.5">
      <c r="A626" s="60" t="s">
        <v>1201</v>
      </c>
      <c r="B626" s="287" t="str">
        <f>HYPERLINK("http://codeforces.com/contest/239/problem/D","CF239-D2-D")</f>
        <v>CF239-D2-D</v>
      </c>
      <c r="C626" s="67"/>
      <c r="D626" s="67"/>
      <c r="E626" s="67"/>
      <c r="F626" s="67"/>
      <c r="G626" s="67"/>
      <c r="H626" s="67"/>
      <c r="I626" s="36">
        <f t="shared" si="2"/>
        <v>0</v>
      </c>
      <c r="J626" s="36"/>
      <c r="K626" s="36"/>
      <c r="L626" s="302"/>
      <c r="M626" s="216" t="str">
        <f>HYPERLINK("https://github.com/MedoN11/CompetitiveProgramming/blob/master/CodeForces/CF239-D2-D.java","Sol. Find proof (See editorial comments)")</f>
        <v>Sol. Find proof (See editorial comments)</v>
      </c>
      <c r="N626" s="286" t="s">
        <v>1598</v>
      </c>
      <c r="O626" s="286">
        <v>84</v>
      </c>
      <c r="P626" s="286">
        <v>5</v>
      </c>
      <c r="Q626" s="12" t="s">
        <v>1243</v>
      </c>
    </row>
    <row r="627" spans="1:17" ht="12.5">
      <c r="A627" s="60" t="s">
        <v>799</v>
      </c>
      <c r="B627" s="287" t="str">
        <f>HYPERLINK("http://codeforces.com/contest/465/problem/C","CF465-D2-C")</f>
        <v>CF465-D2-C</v>
      </c>
      <c r="C627" s="67"/>
      <c r="D627" s="67"/>
      <c r="E627" s="67"/>
      <c r="F627" s="67"/>
      <c r="G627" s="67"/>
      <c r="H627" s="67"/>
      <c r="I627" s="36">
        <f t="shared" si="2"/>
        <v>0</v>
      </c>
      <c r="J627" s="67"/>
      <c r="K627" s="67"/>
      <c r="L627" s="67"/>
      <c r="M627" s="28"/>
      <c r="N627" s="286" t="s">
        <v>1599</v>
      </c>
      <c r="O627" s="286">
        <v>84</v>
      </c>
      <c r="P627" s="286">
        <v>5</v>
      </c>
    </row>
    <row r="628" spans="1:17" ht="12.5">
      <c r="A628" s="60"/>
      <c r="B628" s="287" t="str">
        <f>HYPERLINK("http://codeforces.com/contest/709/problem/D","CF709-D2-D")</f>
        <v>CF709-D2-D</v>
      </c>
      <c r="C628" s="67"/>
      <c r="D628" s="67"/>
      <c r="E628" s="67"/>
      <c r="F628" s="67"/>
      <c r="G628" s="67"/>
      <c r="H628" s="67"/>
      <c r="I628" s="36">
        <f t="shared" si="2"/>
        <v>0</v>
      </c>
      <c r="J628" s="67"/>
      <c r="K628" s="67"/>
      <c r="L628" s="67"/>
      <c r="M628" s="286"/>
      <c r="N628" s="286" t="s">
        <v>1600</v>
      </c>
      <c r="O628" s="286">
        <v>84</v>
      </c>
      <c r="P628" s="286">
        <v>5.5</v>
      </c>
      <c r="Q628" s="12" t="s">
        <v>1245</v>
      </c>
    </row>
    <row r="629" spans="1:17" ht="12.5">
      <c r="A629" s="60"/>
      <c r="B629" s="287" t="str">
        <f>HYPERLINK("https://www.codechef.com/LTIME64B/problems/BJUDGE","CODECHEF BJUDGE")</f>
        <v>CODECHEF BJUDGE</v>
      </c>
      <c r="C629" s="67"/>
      <c r="D629" s="67"/>
      <c r="E629" s="67"/>
      <c r="F629" s="67"/>
      <c r="G629" s="67"/>
      <c r="H629" s="67"/>
      <c r="I629" s="36">
        <f t="shared" si="2"/>
        <v>0</v>
      </c>
      <c r="J629" s="36"/>
      <c r="K629" s="36"/>
      <c r="L629" s="302"/>
      <c r="M629" s="28"/>
      <c r="N629" s="286" t="s">
        <v>1582</v>
      </c>
      <c r="O629" s="286">
        <v>84</v>
      </c>
      <c r="P629" s="286">
        <v>5.5</v>
      </c>
      <c r="Q629" s="12" t="s">
        <v>1245</v>
      </c>
    </row>
    <row r="630" spans="1:17" ht="12.5">
      <c r="A630" s="60"/>
      <c r="B630" s="287" t="str">
        <f>HYPERLINK("http://codeforces.com/contest/1023/problem/E","CF1023-D12-E")</f>
        <v>CF1023-D12-E</v>
      </c>
      <c r="C630" s="67"/>
      <c r="D630" s="67"/>
      <c r="E630" s="67"/>
      <c r="F630" s="67"/>
      <c r="G630" s="67"/>
      <c r="H630" s="67"/>
      <c r="I630" s="36">
        <f t="shared" si="2"/>
        <v>0</v>
      </c>
      <c r="J630" s="36"/>
      <c r="K630" s="36"/>
      <c r="L630" s="67"/>
      <c r="M630" s="60"/>
      <c r="N630" s="286" t="s">
        <v>1601</v>
      </c>
      <c r="O630" s="286">
        <v>84</v>
      </c>
      <c r="P630" s="286">
        <v>5.5</v>
      </c>
      <c r="Q630" s="12" t="s">
        <v>1245</v>
      </c>
    </row>
    <row r="631" spans="1:17" ht="12.5">
      <c r="A631" s="60" t="s">
        <v>1045</v>
      </c>
      <c r="B631" s="287" t="str">
        <f>HYPERLINK("http://codeforces.com/contest/104/problem/D","CF104-D2-D")</f>
        <v>CF104-D2-D</v>
      </c>
      <c r="C631" s="67"/>
      <c r="D631" s="67"/>
      <c r="E631" s="67"/>
      <c r="F631" s="67"/>
      <c r="G631" s="67"/>
      <c r="H631" s="67"/>
      <c r="I631" s="36">
        <f t="shared" si="2"/>
        <v>0</v>
      </c>
      <c r="J631" s="36"/>
      <c r="K631" s="36"/>
      <c r="L631" s="67"/>
      <c r="M631" s="60"/>
      <c r="N631" s="286" t="s">
        <v>1602</v>
      </c>
      <c r="O631" s="286">
        <v>84</v>
      </c>
      <c r="P631" s="286">
        <v>5.5</v>
      </c>
      <c r="Q631" s="12" t="s">
        <v>1245</v>
      </c>
    </row>
    <row r="632" spans="1:17" ht="12.5">
      <c r="A632" s="60"/>
      <c r="B632" s="287" t="str">
        <f>HYPERLINK("http://codeforces.com/contest/1043/problem/E","CF1043-D12-E")</f>
        <v>CF1043-D12-E</v>
      </c>
      <c r="C632" s="67"/>
      <c r="D632" s="67"/>
      <c r="E632" s="67"/>
      <c r="F632" s="67"/>
      <c r="G632" s="67"/>
      <c r="H632" s="67"/>
      <c r="I632" s="36">
        <f t="shared" si="2"/>
        <v>0</v>
      </c>
      <c r="J632" s="67"/>
      <c r="K632" s="67"/>
      <c r="L632" s="302"/>
      <c r="M632" s="191"/>
      <c r="N632" s="286" t="s">
        <v>1603</v>
      </c>
      <c r="O632" s="286">
        <v>84</v>
      </c>
      <c r="P632" s="286">
        <v>5.5</v>
      </c>
      <c r="Q632" s="12" t="s">
        <v>1245</v>
      </c>
    </row>
    <row r="633" spans="1:17" ht="12.5">
      <c r="A633" s="60" t="s">
        <v>1114</v>
      </c>
      <c r="B633" s="287" t="str">
        <f>HYPERLINK("http://codeforces.com/contest/447/problem/D","CF447-D2-D")</f>
        <v>CF447-D2-D</v>
      </c>
      <c r="C633" s="67"/>
      <c r="D633" s="67"/>
      <c r="E633" s="67"/>
      <c r="F633" s="67"/>
      <c r="G633" s="67"/>
      <c r="H633" s="67"/>
      <c r="I633" s="36">
        <f t="shared" si="2"/>
        <v>0</v>
      </c>
      <c r="J633" s="36"/>
      <c r="K633" s="36"/>
      <c r="L633" s="302"/>
      <c r="M633" s="191" t="s">
        <v>1115</v>
      </c>
      <c r="N633" s="286" t="s">
        <v>1604</v>
      </c>
      <c r="O633" s="286">
        <v>84</v>
      </c>
      <c r="P633" s="286">
        <v>5.5</v>
      </c>
      <c r="Q633" s="12" t="s">
        <v>1243</v>
      </c>
    </row>
    <row r="634" spans="1:17" ht="12.5">
      <c r="A634" s="60"/>
      <c r="B634" s="287" t="str">
        <f>HYPERLINK("https://agc002.contest.atcoder.jp/tasks/agc002_c","AtCoder002-AGC-C")</f>
        <v>AtCoder002-AGC-C</v>
      </c>
      <c r="C634" s="67"/>
      <c r="D634" s="67"/>
      <c r="E634" s="67"/>
      <c r="F634" s="67"/>
      <c r="G634" s="67"/>
      <c r="H634" s="67"/>
      <c r="I634" s="36">
        <f t="shared" si="2"/>
        <v>0</v>
      </c>
      <c r="J634" s="67"/>
      <c r="K634" s="67"/>
      <c r="L634" s="67"/>
      <c r="M634" s="60"/>
      <c r="N634" s="286" t="s">
        <v>1605</v>
      </c>
      <c r="O634" s="286">
        <v>84</v>
      </c>
      <c r="P634" s="286">
        <v>5.5</v>
      </c>
      <c r="Q634" s="12" t="s">
        <v>1243</v>
      </c>
    </row>
    <row r="635" spans="1:17" ht="12.5">
      <c r="A635" s="60" t="s">
        <v>1159</v>
      </c>
      <c r="B635" s="287" t="str">
        <f>HYPERLINK("http://codeforces.com/problemset/gymProblem/101149/G","CF101149-GYM-G")</f>
        <v>CF101149-GYM-G</v>
      </c>
      <c r="C635" s="67"/>
      <c r="D635" s="67"/>
      <c r="E635" s="67"/>
      <c r="F635" s="67"/>
      <c r="G635" s="67"/>
      <c r="H635" s="67"/>
      <c r="I635" s="36">
        <f t="shared" si="2"/>
        <v>0</v>
      </c>
      <c r="J635" s="36"/>
      <c r="K635" s="36"/>
      <c r="L635" s="302"/>
      <c r="M635" s="216" t="str">
        <f>HYPERLINK("https://github.com/BRAINOOOO/CompetitiveProgramming/blob/3057480d3a311cc86a6d64546655a9bb4017cbd6/CF/CF101149-GYM-G.Cpp","Sol")</f>
        <v>Sol</v>
      </c>
      <c r="N635" s="286" t="s">
        <v>1606</v>
      </c>
      <c r="O635" s="286">
        <v>84</v>
      </c>
      <c r="P635" s="286">
        <v>5.5</v>
      </c>
      <c r="Q635" s="12" t="s">
        <v>1239</v>
      </c>
    </row>
    <row r="636" spans="1:17" ht="12.5">
      <c r="A636" s="60" t="s">
        <v>1002</v>
      </c>
      <c r="B636" s="287" t="str">
        <f>HYPERLINK("http://codeforces.com/contest/672/problem/D","CF672-D2-D")</f>
        <v>CF672-D2-D</v>
      </c>
      <c r="C636" s="67"/>
      <c r="D636" s="67"/>
      <c r="E636" s="67"/>
      <c r="F636" s="67"/>
      <c r="G636" s="67"/>
      <c r="H636" s="67"/>
      <c r="I636" s="36">
        <f t="shared" si="2"/>
        <v>0</v>
      </c>
      <c r="J636" s="36"/>
      <c r="K636" s="36"/>
      <c r="L636" s="67"/>
      <c r="M636" s="286"/>
      <c r="N636" s="286" t="s">
        <v>1607</v>
      </c>
      <c r="O636" s="286">
        <v>84</v>
      </c>
      <c r="P636" s="286">
        <v>5.5</v>
      </c>
    </row>
    <row r="637" spans="1:17" ht="12.5">
      <c r="A637" s="60"/>
      <c r="B637" s="60" t="s">
        <v>1040</v>
      </c>
      <c r="C637" s="67"/>
      <c r="D637" s="67"/>
      <c r="E637" s="67"/>
      <c r="F637" s="67"/>
      <c r="G637" s="67"/>
      <c r="H637" s="67"/>
      <c r="I637" s="36">
        <f t="shared" si="2"/>
        <v>0</v>
      </c>
      <c r="J637" s="67"/>
      <c r="K637" s="67"/>
      <c r="L637" s="302"/>
      <c r="M637" s="286"/>
      <c r="N637" s="286" t="s">
        <v>1608</v>
      </c>
      <c r="O637" s="286">
        <v>84</v>
      </c>
      <c r="P637" s="286">
        <v>6</v>
      </c>
      <c r="Q637" s="12" t="s">
        <v>1245</v>
      </c>
    </row>
    <row r="638" spans="1:17" ht="12.5">
      <c r="A638" s="60"/>
      <c r="B638" s="287" t="str">
        <f>HYPERLINK("https://codeforces.com/contest/867/problem/E","CF867-D12-E")</f>
        <v>CF867-D12-E</v>
      </c>
      <c r="C638" s="67"/>
      <c r="D638" s="67"/>
      <c r="E638" s="67"/>
      <c r="F638" s="67"/>
      <c r="G638" s="67"/>
      <c r="H638" s="67"/>
      <c r="I638" s="36">
        <f t="shared" si="2"/>
        <v>0</v>
      </c>
      <c r="J638" s="67"/>
      <c r="K638" s="67"/>
      <c r="L638" s="67"/>
      <c r="M638" s="191"/>
      <c r="N638" s="286" t="s">
        <v>1609</v>
      </c>
      <c r="O638" s="286">
        <v>84</v>
      </c>
      <c r="P638" s="286">
        <v>6</v>
      </c>
      <c r="Q638" s="12" t="s">
        <v>1245</v>
      </c>
    </row>
    <row r="639" spans="1:17" ht="12.5">
      <c r="A639" s="60"/>
      <c r="B639" s="60" t="s">
        <v>1164</v>
      </c>
      <c r="C639" s="67"/>
      <c r="D639" s="67"/>
      <c r="E639" s="67"/>
      <c r="F639" s="67"/>
      <c r="G639" s="67"/>
      <c r="H639" s="67"/>
      <c r="I639" s="36">
        <f t="shared" si="2"/>
        <v>0</v>
      </c>
      <c r="J639" s="36"/>
      <c r="K639" s="36"/>
      <c r="L639" s="302"/>
      <c r="M639" s="191"/>
      <c r="N639" s="286" t="s">
        <v>1610</v>
      </c>
      <c r="O639" s="286">
        <v>84</v>
      </c>
      <c r="P639" s="286">
        <v>6</v>
      </c>
      <c r="Q639" s="12" t="s">
        <v>1243</v>
      </c>
    </row>
    <row r="640" spans="1:17" ht="12.5">
      <c r="A640" s="60" t="s">
        <v>1145</v>
      </c>
      <c r="B640" s="287" t="str">
        <f>HYPERLINK("http://codeforces.com/contest/496/problem/D","CF496-D2-D")</f>
        <v>CF496-D2-D</v>
      </c>
      <c r="C640" s="67"/>
      <c r="D640" s="67"/>
      <c r="E640" s="67"/>
      <c r="F640" s="67"/>
      <c r="G640" s="67"/>
      <c r="H640" s="67"/>
      <c r="I640" s="36">
        <f t="shared" si="2"/>
        <v>0</v>
      </c>
      <c r="J640" s="67"/>
      <c r="K640" s="67"/>
      <c r="L640" s="302"/>
      <c r="M640" s="28"/>
      <c r="N640" s="286" t="s">
        <v>1611</v>
      </c>
      <c r="O640" s="286">
        <v>84</v>
      </c>
      <c r="P640" s="286">
        <v>6</v>
      </c>
    </row>
    <row r="641" spans="1:17" ht="12.5">
      <c r="A641" s="60" t="s">
        <v>250</v>
      </c>
      <c r="B641" s="287" t="str">
        <f>HYPERLINK("http://codeforces.com/contest/127/problem/A","CF127-D2-A")</f>
        <v>CF127-D2-A</v>
      </c>
      <c r="C641" s="67"/>
      <c r="D641" s="67"/>
      <c r="E641" s="67"/>
      <c r="F641" s="67"/>
      <c r="G641" s="67"/>
      <c r="H641" s="67"/>
      <c r="I641" s="36">
        <f t="shared" si="2"/>
        <v>0</v>
      </c>
      <c r="J641" s="67"/>
      <c r="K641" s="36"/>
      <c r="L641" s="67"/>
      <c r="M641" s="28"/>
      <c r="N641" s="286" t="s">
        <v>1612</v>
      </c>
      <c r="O641" s="286">
        <v>86</v>
      </c>
      <c r="P641" s="191">
        <v>1.5</v>
      </c>
    </row>
    <row r="642" spans="1:17" ht="12.5">
      <c r="A642" s="60" t="s">
        <v>208</v>
      </c>
      <c r="B642" s="287" t="str">
        <f>HYPERLINK("http://codeforces.com/contest/709/problem/A","CF709-D2-A")</f>
        <v>CF709-D2-A</v>
      </c>
      <c r="C642" s="67"/>
      <c r="D642" s="67"/>
      <c r="E642" s="67"/>
      <c r="F642" s="67"/>
      <c r="G642" s="67"/>
      <c r="H642" s="67"/>
      <c r="I642" s="36">
        <f t="shared" si="2"/>
        <v>0</v>
      </c>
      <c r="J642" s="67"/>
      <c r="K642" s="36"/>
      <c r="L642" s="67"/>
      <c r="M642" s="291" t="str">
        <f>HYPERLINK("https://www.youtube.com/watch?v=fPcKGZ_e8G0","Video Solution - Solver to be (Java)")</f>
        <v>Video Solution - Solver to be (Java)</v>
      </c>
      <c r="N642" s="286" t="s">
        <v>1612</v>
      </c>
      <c r="O642" s="286">
        <v>86</v>
      </c>
      <c r="P642" s="191">
        <v>1.5</v>
      </c>
    </row>
    <row r="643" spans="1:17" ht="12.5">
      <c r="A643" s="60" t="s">
        <v>247</v>
      </c>
      <c r="B643" s="287" t="str">
        <f>HYPERLINK("http://codeforces.com/contest/785/problem/A","CF785-D2-A")</f>
        <v>CF785-D2-A</v>
      </c>
      <c r="C643" s="67"/>
      <c r="D643" s="67"/>
      <c r="E643" s="67"/>
      <c r="F643" s="67"/>
      <c r="G643" s="67"/>
      <c r="H643" s="67"/>
      <c r="I643" s="36">
        <f t="shared" si="2"/>
        <v>0</v>
      </c>
      <c r="J643" s="67"/>
      <c r="K643" s="36"/>
      <c r="L643" s="67"/>
      <c r="M643" s="290" t="str">
        <f>HYPERLINK("https://www.youtube.com/watch?v=PgEnG308Hf4","Video Solution - Solver to be (Java)")</f>
        <v>Video Solution - Solver to be (Java)</v>
      </c>
      <c r="N643" s="286" t="s">
        <v>1612</v>
      </c>
      <c r="O643" s="286">
        <v>86</v>
      </c>
      <c r="P643" s="191">
        <v>1.5</v>
      </c>
    </row>
    <row r="644" spans="1:17" ht="12.5">
      <c r="A644" s="60" t="s">
        <v>243</v>
      </c>
      <c r="B644" s="287" t="str">
        <f>HYPERLINK("http://codeforces.com/contest/404/problem/A","CF404-D2-A")</f>
        <v>CF404-D2-A</v>
      </c>
      <c r="C644" s="67"/>
      <c r="D644" s="67"/>
      <c r="E644" s="67"/>
      <c r="F644" s="67"/>
      <c r="G644" s="67"/>
      <c r="H644" s="67"/>
      <c r="I644" s="36">
        <f t="shared" si="2"/>
        <v>0</v>
      </c>
      <c r="J644" s="67"/>
      <c r="K644" s="36"/>
      <c r="L644" s="67"/>
      <c r="M644" s="290" t="str">
        <f>HYPERLINK("https://www.youtube.com/watch?v=vLEXMm860gQ","Video Solution - Solver to be (Java)")</f>
        <v>Video Solution - Solver to be (Java)</v>
      </c>
      <c r="N644" s="286" t="s">
        <v>1613</v>
      </c>
      <c r="O644" s="286">
        <v>86</v>
      </c>
      <c r="P644" s="191">
        <v>1.5</v>
      </c>
    </row>
    <row r="645" spans="1:17" ht="12.5">
      <c r="A645" s="60" t="s">
        <v>594</v>
      </c>
      <c r="B645" s="287" t="str">
        <f>HYPERLINK("http://codeforces.com/contest/518/problem/B","CF518-D2-B")</f>
        <v>CF518-D2-B</v>
      </c>
      <c r="C645" s="67"/>
      <c r="D645" s="67"/>
      <c r="E645" s="67"/>
      <c r="F645" s="67"/>
      <c r="G645" s="67"/>
      <c r="H645" s="67"/>
      <c r="I645" s="36">
        <f t="shared" si="2"/>
        <v>0</v>
      </c>
      <c r="J645" s="67"/>
      <c r="K645" s="67"/>
      <c r="L645" s="67"/>
      <c r="M645" s="28"/>
      <c r="N645" s="286" t="s">
        <v>1612</v>
      </c>
      <c r="O645" s="286">
        <v>86</v>
      </c>
      <c r="P645" s="191">
        <v>2</v>
      </c>
    </row>
    <row r="646" spans="1:17" ht="12.5">
      <c r="A646" s="60" t="s">
        <v>1614</v>
      </c>
      <c r="B646" s="287" t="str">
        <f>HYPERLINK("http://codeforces.com/contest/548/problem/B","CF548-D2-B")</f>
        <v>CF548-D2-B</v>
      </c>
      <c r="C646" s="67"/>
      <c r="D646" s="67"/>
      <c r="E646" s="67"/>
      <c r="F646" s="67"/>
      <c r="G646" s="67"/>
      <c r="H646" s="67"/>
      <c r="I646" s="36">
        <f t="shared" si="2"/>
        <v>0</v>
      </c>
      <c r="J646" s="67"/>
      <c r="K646" s="67"/>
      <c r="L646" s="67"/>
      <c r="M646" s="28"/>
      <c r="N646" s="286" t="s">
        <v>1612</v>
      </c>
      <c r="O646" s="286">
        <v>86</v>
      </c>
      <c r="P646" s="191">
        <v>2</v>
      </c>
    </row>
    <row r="647" spans="1:17" ht="12.5">
      <c r="A647" s="60" t="s">
        <v>673</v>
      </c>
      <c r="B647" s="287" t="str">
        <f>HYPERLINK("http://codeforces.com/contest/534/problem/B","CF534-D2-B")</f>
        <v>CF534-D2-B</v>
      </c>
      <c r="C647" s="67"/>
      <c r="D647" s="67"/>
      <c r="E647" s="67"/>
      <c r="F647" s="67"/>
      <c r="G647" s="67"/>
      <c r="H647" s="67"/>
      <c r="I647" s="36">
        <f t="shared" si="2"/>
        <v>0</v>
      </c>
      <c r="J647" s="36"/>
      <c r="K647" s="36"/>
      <c r="L647" s="67"/>
      <c r="M647" s="60"/>
      <c r="N647" s="286" t="s">
        <v>1612</v>
      </c>
      <c r="O647" s="286">
        <v>86</v>
      </c>
      <c r="P647" s="191">
        <v>2</v>
      </c>
    </row>
    <row r="648" spans="1:17" ht="12.5">
      <c r="A648" s="60" t="s">
        <v>638</v>
      </c>
      <c r="B648" s="287" t="str">
        <f>HYPERLINK("http://codeforces.com/contest/631/problem/B","CF631-D2-B")</f>
        <v>CF631-D2-B</v>
      </c>
      <c r="C648" s="67"/>
      <c r="D648" s="67"/>
      <c r="E648" s="67"/>
      <c r="F648" s="67"/>
      <c r="G648" s="67"/>
      <c r="H648" s="67"/>
      <c r="I648" s="36">
        <f t="shared" si="2"/>
        <v>0</v>
      </c>
      <c r="J648" s="36"/>
      <c r="K648" s="36"/>
      <c r="L648" s="67"/>
      <c r="M648" s="28"/>
      <c r="N648" s="286" t="s">
        <v>1612</v>
      </c>
      <c r="O648" s="286">
        <v>86</v>
      </c>
      <c r="P648" s="191">
        <v>2</v>
      </c>
    </row>
    <row r="649" spans="1:17" ht="12.5">
      <c r="A649" s="60" t="s">
        <v>823</v>
      </c>
      <c r="B649" s="287" t="str">
        <f>HYPERLINK("http://codeforces.com/contest/146/problem/B","CF146-D2-B")</f>
        <v>CF146-D2-B</v>
      </c>
      <c r="C649" s="67"/>
      <c r="D649" s="67"/>
      <c r="E649" s="67"/>
      <c r="F649" s="67"/>
      <c r="G649" s="67"/>
      <c r="H649" s="67"/>
      <c r="I649" s="36">
        <f t="shared" si="2"/>
        <v>0</v>
      </c>
      <c r="J649" s="36"/>
      <c r="K649" s="36"/>
      <c r="L649" s="67"/>
      <c r="M649" s="60"/>
      <c r="N649" s="286" t="s">
        <v>1612</v>
      </c>
      <c r="O649" s="286">
        <v>86</v>
      </c>
      <c r="P649" s="191">
        <v>2</v>
      </c>
    </row>
    <row r="650" spans="1:17" ht="12.5">
      <c r="A650" s="60" t="s">
        <v>612</v>
      </c>
      <c r="B650" s="287" t="str">
        <f>HYPERLINK("http://codeforces.com/contest/219/problem/B","CF219-D2-B")</f>
        <v>CF219-D2-B</v>
      </c>
      <c r="C650" s="67"/>
      <c r="D650" s="67"/>
      <c r="E650" s="67"/>
      <c r="F650" s="67"/>
      <c r="G650" s="67"/>
      <c r="H650" s="67"/>
      <c r="I650" s="36">
        <f t="shared" si="2"/>
        <v>0</v>
      </c>
      <c r="J650" s="36"/>
      <c r="K650" s="36"/>
      <c r="L650" s="67"/>
      <c r="M650" s="60"/>
      <c r="N650" s="286" t="s">
        <v>1612</v>
      </c>
      <c r="O650" s="286">
        <v>86</v>
      </c>
      <c r="P650" s="191">
        <v>2</v>
      </c>
      <c r="Q650" s="12" t="s">
        <v>1243</v>
      </c>
    </row>
    <row r="651" spans="1:17" ht="12.5">
      <c r="A651" s="60" t="s">
        <v>806</v>
      </c>
      <c r="B651" s="287" t="str">
        <f>HYPERLINK("http://codeforces.com/contest/233/problem/B","CF233-D2-B")</f>
        <v>CF233-D2-B</v>
      </c>
      <c r="C651" s="67"/>
      <c r="D651" s="67"/>
      <c r="E651" s="67"/>
      <c r="F651" s="67"/>
      <c r="G651" s="67"/>
      <c r="H651" s="67"/>
      <c r="I651" s="36">
        <f t="shared" si="2"/>
        <v>0</v>
      </c>
      <c r="J651" s="36"/>
      <c r="K651" s="36"/>
      <c r="L651" s="67"/>
      <c r="M651" s="60"/>
      <c r="N651" s="286" t="s">
        <v>1612</v>
      </c>
      <c r="O651" s="286">
        <v>86</v>
      </c>
      <c r="P651" s="191">
        <v>2</v>
      </c>
    </row>
    <row r="652" spans="1:17" ht="12.5">
      <c r="A652" s="60" t="s">
        <v>1615</v>
      </c>
      <c r="B652" s="287" t="str">
        <f>HYPERLINK("http://codeforces.com/contest/357/problem/B","CF357-D2-B")</f>
        <v>CF357-D2-B</v>
      </c>
      <c r="C652" s="67"/>
      <c r="D652" s="67"/>
      <c r="E652" s="67"/>
      <c r="F652" s="67"/>
      <c r="G652" s="67"/>
      <c r="H652" s="67"/>
      <c r="I652" s="36">
        <f t="shared" si="2"/>
        <v>0</v>
      </c>
      <c r="J652" s="36"/>
      <c r="K652" s="36"/>
      <c r="L652" s="67"/>
      <c r="M652" s="60"/>
      <c r="N652" s="286" t="s">
        <v>1612</v>
      </c>
      <c r="O652" s="286">
        <v>86</v>
      </c>
      <c r="P652" s="191">
        <v>2</v>
      </c>
    </row>
    <row r="653" spans="1:17" ht="12.5">
      <c r="A653" s="60" t="s">
        <v>766</v>
      </c>
      <c r="B653" s="287" t="str">
        <f>HYPERLINK("http://codeforces.com/contest/426/problem/B","CF426-D2-B")</f>
        <v>CF426-D2-B</v>
      </c>
      <c r="C653" s="67"/>
      <c r="D653" s="67"/>
      <c r="E653" s="67"/>
      <c r="F653" s="67"/>
      <c r="G653" s="67"/>
      <c r="H653" s="67"/>
      <c r="I653" s="36">
        <f t="shared" si="2"/>
        <v>0</v>
      </c>
      <c r="J653" s="36"/>
      <c r="K653" s="36"/>
      <c r="L653" s="67"/>
      <c r="M653" s="60"/>
      <c r="N653" s="286" t="s">
        <v>1612</v>
      </c>
      <c r="O653" s="286">
        <v>86</v>
      </c>
      <c r="P653" s="191">
        <v>2</v>
      </c>
    </row>
    <row r="654" spans="1:17" ht="12.5">
      <c r="A654" s="60" t="s">
        <v>785</v>
      </c>
      <c r="B654" s="287" t="str">
        <f>HYPERLINK("http://codeforces.com/contest/454/problem/B","CF454-D2-B")</f>
        <v>CF454-D2-B</v>
      </c>
      <c r="C654" s="67"/>
      <c r="D654" s="67"/>
      <c r="E654" s="67"/>
      <c r="F654" s="67"/>
      <c r="G654" s="67"/>
      <c r="H654" s="67"/>
      <c r="I654" s="36">
        <f t="shared" si="2"/>
        <v>0</v>
      </c>
      <c r="J654" s="36"/>
      <c r="K654" s="36"/>
      <c r="L654" s="67"/>
      <c r="M654" s="60"/>
      <c r="N654" s="286" t="s">
        <v>1612</v>
      </c>
      <c r="O654" s="286">
        <v>86</v>
      </c>
      <c r="P654" s="191">
        <v>2</v>
      </c>
    </row>
    <row r="655" spans="1:17" ht="12.5">
      <c r="A655" s="60" t="s">
        <v>822</v>
      </c>
      <c r="B655" s="287" t="str">
        <f>HYPERLINK("http://codeforces.com/contest/471/problem/B","CF471-D2-B")</f>
        <v>CF471-D2-B</v>
      </c>
      <c r="C655" s="67"/>
      <c r="D655" s="67"/>
      <c r="E655" s="67"/>
      <c r="F655" s="67"/>
      <c r="G655" s="67"/>
      <c r="H655" s="67"/>
      <c r="I655" s="36">
        <f t="shared" si="2"/>
        <v>0</v>
      </c>
      <c r="J655" s="36"/>
      <c r="K655" s="36"/>
      <c r="L655" s="67"/>
      <c r="M655" s="60"/>
      <c r="N655" s="286" t="s">
        <v>1612</v>
      </c>
      <c r="O655" s="286">
        <v>86</v>
      </c>
      <c r="P655" s="191">
        <v>2</v>
      </c>
    </row>
    <row r="656" spans="1:17" ht="12.5">
      <c r="A656" s="60" t="s">
        <v>481</v>
      </c>
      <c r="B656" s="287" t="str">
        <f>HYPERLINK("http://codeforces.com/contest/614/problem/B","CF614-D2-B")</f>
        <v>CF614-D2-B</v>
      </c>
      <c r="C656" s="67"/>
      <c r="D656" s="67"/>
      <c r="E656" s="67"/>
      <c r="F656" s="67"/>
      <c r="G656" s="67"/>
      <c r="H656" s="67"/>
      <c r="I656" s="36">
        <f t="shared" si="2"/>
        <v>0</v>
      </c>
      <c r="J656" s="36"/>
      <c r="K656" s="36"/>
      <c r="L656" s="67"/>
      <c r="M656" s="286"/>
      <c r="N656" s="286" t="s">
        <v>1612</v>
      </c>
      <c r="O656" s="286">
        <v>86</v>
      </c>
      <c r="P656" s="191">
        <v>2</v>
      </c>
    </row>
    <row r="657" spans="1:17" ht="12.5">
      <c r="A657" s="60" t="s">
        <v>833</v>
      </c>
      <c r="B657" s="287" t="str">
        <f>HYPERLINK("http://codeforces.com/contest/131/problem/B","CF131-D2-B")</f>
        <v>CF131-D2-B</v>
      </c>
      <c r="C657" s="67"/>
      <c r="D657" s="67"/>
      <c r="E657" s="67"/>
      <c r="F657" s="67"/>
      <c r="G657" s="67"/>
      <c r="H657" s="67"/>
      <c r="I657" s="36">
        <f t="shared" si="2"/>
        <v>0</v>
      </c>
      <c r="J657" s="67"/>
      <c r="K657" s="67"/>
      <c r="L657" s="67"/>
      <c r="M657" s="296"/>
      <c r="N657" s="286" t="s">
        <v>1612</v>
      </c>
      <c r="O657" s="286">
        <v>86</v>
      </c>
      <c r="P657" s="191">
        <v>2</v>
      </c>
    </row>
    <row r="658" spans="1:17" ht="12.5">
      <c r="A658" s="60" t="s">
        <v>1616</v>
      </c>
      <c r="B658" s="287" t="str">
        <f>HYPERLINK("http://codeforces.com/contest/116/problem/B","CF116-D2-B")</f>
        <v>CF116-D2-B</v>
      </c>
      <c r="C658" s="67"/>
      <c r="D658" s="67"/>
      <c r="E658" s="67"/>
      <c r="F658" s="67"/>
      <c r="G658" s="67"/>
      <c r="H658" s="67"/>
      <c r="I658" s="36">
        <f t="shared" si="2"/>
        <v>0</v>
      </c>
      <c r="J658" s="36"/>
      <c r="K658" s="36"/>
      <c r="L658" s="67"/>
      <c r="M658" s="60"/>
      <c r="N658" s="286" t="s">
        <v>1612</v>
      </c>
      <c r="O658" s="286">
        <v>86</v>
      </c>
      <c r="P658" s="191">
        <v>2</v>
      </c>
    </row>
    <row r="659" spans="1:17" ht="12.5">
      <c r="A659" s="60" t="s">
        <v>658</v>
      </c>
      <c r="B659" s="287" t="str">
        <f>HYPERLINK("http://codeforces.com/contest/222/problem/B","CF222-D2-B")</f>
        <v>CF222-D2-B</v>
      </c>
      <c r="C659" s="67"/>
      <c r="D659" s="67"/>
      <c r="E659" s="67"/>
      <c r="F659" s="67"/>
      <c r="G659" s="67"/>
      <c r="H659" s="67"/>
      <c r="I659" s="36">
        <f t="shared" si="2"/>
        <v>0</v>
      </c>
      <c r="J659" s="67"/>
      <c r="K659" s="67"/>
      <c r="L659" s="67"/>
      <c r="M659" s="154"/>
      <c r="N659" s="286" t="s">
        <v>1612</v>
      </c>
      <c r="O659" s="286">
        <v>86</v>
      </c>
      <c r="P659" s="191">
        <v>2</v>
      </c>
    </row>
    <row r="660" spans="1:17" ht="12.5">
      <c r="A660" s="60" t="s">
        <v>625</v>
      </c>
      <c r="B660" s="287" t="str">
        <f>HYPERLINK("http://codeforces.com/contest/271/problem/B","CF271-D2-B")</f>
        <v>CF271-D2-B</v>
      </c>
      <c r="C660" s="67"/>
      <c r="D660" s="67"/>
      <c r="E660" s="67"/>
      <c r="F660" s="67"/>
      <c r="G660" s="67"/>
      <c r="H660" s="67"/>
      <c r="I660" s="36">
        <f t="shared" si="2"/>
        <v>0</v>
      </c>
      <c r="J660" s="36"/>
      <c r="K660" s="36"/>
      <c r="L660" s="67"/>
      <c r="M660" s="286"/>
      <c r="N660" s="286" t="s">
        <v>1612</v>
      </c>
      <c r="O660" s="286">
        <v>86</v>
      </c>
      <c r="P660" s="191">
        <v>2</v>
      </c>
    </row>
    <row r="661" spans="1:17" ht="12.5">
      <c r="A661" s="60" t="s">
        <v>489</v>
      </c>
      <c r="B661" s="287" t="str">
        <f>HYPERLINK("http://codeforces.com/contest/621/problem/B","CF621-D2-B")</f>
        <v>CF621-D2-B</v>
      </c>
      <c r="C661" s="67"/>
      <c r="D661" s="67"/>
      <c r="E661" s="67"/>
      <c r="F661" s="67"/>
      <c r="G661" s="67"/>
      <c r="H661" s="67"/>
      <c r="I661" s="36">
        <f t="shared" si="2"/>
        <v>0</v>
      </c>
      <c r="J661" s="36"/>
      <c r="K661" s="36"/>
      <c r="L661" s="67"/>
      <c r="M661" s="137" t="str">
        <f>HYPERLINK("https://www.youtube.com/watch?v=zKne2u4DuIs&amp;feature=youtu.be","Video Solution - Eng Mahmoud Mabrok")</f>
        <v>Video Solution - Eng Mahmoud Mabrok</v>
      </c>
      <c r="N661" s="286" t="s">
        <v>1612</v>
      </c>
      <c r="O661" s="286">
        <v>86</v>
      </c>
      <c r="P661" s="191">
        <v>2</v>
      </c>
    </row>
    <row r="662" spans="1:17" ht="12.5">
      <c r="A662" s="60"/>
      <c r="B662" s="287" t="str">
        <f>HYPERLINK("https://codeforces.com/contest/1030/problem/B","CF1030-D12-B")</f>
        <v>CF1030-D12-B</v>
      </c>
      <c r="C662" s="67"/>
      <c r="D662" s="67"/>
      <c r="E662" s="67"/>
      <c r="F662" s="67"/>
      <c r="G662" s="67"/>
      <c r="H662" s="67"/>
      <c r="I662" s="36">
        <f t="shared" si="2"/>
        <v>0</v>
      </c>
      <c r="J662" s="67"/>
      <c r="K662" s="67"/>
      <c r="L662" s="67"/>
      <c r="M662" s="60"/>
      <c r="N662" s="286" t="s">
        <v>1617</v>
      </c>
      <c r="O662" s="286">
        <v>86</v>
      </c>
      <c r="P662" s="191">
        <v>2</v>
      </c>
    </row>
    <row r="663" spans="1:17" ht="12.5">
      <c r="A663" s="60" t="s">
        <v>674</v>
      </c>
      <c r="B663" s="287" t="str">
        <f>HYPERLINK("http://codeforces.com/contest/75/problem/B","CF75-D2-B")</f>
        <v>CF75-D2-B</v>
      </c>
      <c r="C663" s="67"/>
      <c r="D663" s="67"/>
      <c r="E663" s="67"/>
      <c r="F663" s="67"/>
      <c r="G663" s="67"/>
      <c r="H663" s="67"/>
      <c r="I663" s="36">
        <f t="shared" si="2"/>
        <v>0</v>
      </c>
      <c r="J663" s="36"/>
      <c r="K663" s="36"/>
      <c r="L663" s="67"/>
      <c r="M663" s="60"/>
      <c r="N663" s="286" t="s">
        <v>1618</v>
      </c>
      <c r="O663" s="286">
        <v>86</v>
      </c>
      <c r="P663" s="191">
        <v>2</v>
      </c>
    </row>
    <row r="664" spans="1:17" ht="12.5">
      <c r="A664" s="56" t="s">
        <v>656</v>
      </c>
      <c r="B664" s="70" t="str">
        <f>HYPERLINK("http://codeforces.com/contest/490/problem/B","CF490-D2-B")</f>
        <v>CF490-D2-B</v>
      </c>
      <c r="C664" s="10"/>
      <c r="D664" s="10"/>
      <c r="E664" s="10"/>
      <c r="F664" s="10"/>
      <c r="G664" s="10"/>
      <c r="H664" s="10"/>
      <c r="I664" s="67">
        <f t="shared" si="2"/>
        <v>0</v>
      </c>
      <c r="J664" s="10"/>
      <c r="K664" s="10"/>
      <c r="L664" s="10"/>
      <c r="M664" s="10"/>
      <c r="N664" s="56" t="s">
        <v>1619</v>
      </c>
      <c r="O664" s="60">
        <v>86</v>
      </c>
      <c r="P664" s="28">
        <v>3</v>
      </c>
      <c r="Q664" s="10" t="s">
        <v>1243</v>
      </c>
    </row>
    <row r="665" spans="1:17" ht="12.5">
      <c r="A665" s="60" t="s">
        <v>447</v>
      </c>
      <c r="B665" s="287" t="str">
        <f>HYPERLINK("http://acm.timus.ru/problem.aspx?space=1&amp;num=1054","TIMUS 1054")</f>
        <v>TIMUS 1054</v>
      </c>
      <c r="C665" s="67"/>
      <c r="D665" s="67"/>
      <c r="E665" s="67"/>
      <c r="F665" s="67"/>
      <c r="G665" s="67"/>
      <c r="H665" s="67"/>
      <c r="I665" s="36">
        <f t="shared" si="2"/>
        <v>0</v>
      </c>
      <c r="J665" s="36"/>
      <c r="K665" s="36"/>
      <c r="L665" s="67"/>
      <c r="M665" s="137" t="str">
        <f>HYPERLINK("https://github.com/MeGaCrazy/CompetitiveProgramming/blob/9ebf16b4239c8f58c694f2ae22c8f07d1fa70864/Timus/TIMUS_1054.cpp","Sol")</f>
        <v>Sol</v>
      </c>
      <c r="N665" s="286" t="s">
        <v>1620</v>
      </c>
      <c r="O665" s="286">
        <v>86</v>
      </c>
      <c r="P665" s="286">
        <v>3</v>
      </c>
      <c r="Q665" s="12" t="s">
        <v>1243</v>
      </c>
    </row>
    <row r="666" spans="1:17" ht="12.5">
      <c r="A666" s="60" t="s">
        <v>1123</v>
      </c>
      <c r="B666" s="287" t="str">
        <f>HYPERLINK("http://codeforces.com/contest/495/problem/C","CF495-D2-C")</f>
        <v>CF495-D2-C</v>
      </c>
      <c r="C666" s="67"/>
      <c r="D666" s="67"/>
      <c r="E666" s="67"/>
      <c r="F666" s="67"/>
      <c r="G666" s="67"/>
      <c r="H666" s="67"/>
      <c r="I666" s="36">
        <f t="shared" si="2"/>
        <v>0</v>
      </c>
      <c r="J666" s="67"/>
      <c r="K666" s="67"/>
      <c r="L666" s="302"/>
      <c r="M666" s="28"/>
      <c r="N666" s="286" t="s">
        <v>1612</v>
      </c>
      <c r="O666" s="286">
        <v>86</v>
      </c>
      <c r="P666" s="286">
        <v>4</v>
      </c>
    </row>
    <row r="667" spans="1:17" ht="12.5">
      <c r="A667" s="60" t="s">
        <v>1149</v>
      </c>
      <c r="B667" s="287" t="str">
        <f>HYPERLINK("http://codeforces.com/contest/69/problem/C","CF69-D2-C")</f>
        <v>CF69-D2-C</v>
      </c>
      <c r="C667" s="67"/>
      <c r="D667" s="67"/>
      <c r="E667" s="67"/>
      <c r="F667" s="67"/>
      <c r="G667" s="67"/>
      <c r="H667" s="67"/>
      <c r="I667" s="36">
        <f t="shared" si="2"/>
        <v>0</v>
      </c>
      <c r="J667" s="36"/>
      <c r="K667" s="36"/>
      <c r="L667" s="302"/>
      <c r="M667" s="28"/>
      <c r="N667" s="286" t="s">
        <v>1612</v>
      </c>
      <c r="O667" s="286">
        <v>86</v>
      </c>
      <c r="P667" s="286">
        <v>4</v>
      </c>
    </row>
    <row r="668" spans="1:17" ht="12.5">
      <c r="A668" s="60" t="s">
        <v>646</v>
      </c>
      <c r="B668" s="287" t="str">
        <f>HYPERLINK("https://uva.onlinejudge.org/index.php?option=onlinejudge&amp;page=show_problem&amp;problem=63","UVA 127")</f>
        <v>UVA 127</v>
      </c>
      <c r="C668" s="67"/>
      <c r="D668" s="67"/>
      <c r="E668" s="67"/>
      <c r="F668" s="67"/>
      <c r="G668" s="67"/>
      <c r="H668" s="67"/>
      <c r="I668" s="36">
        <f t="shared" si="2"/>
        <v>0</v>
      </c>
      <c r="J668" s="36"/>
      <c r="K668" s="36"/>
      <c r="L668" s="67"/>
      <c r="M668" s="116" t="str">
        <f>HYPERLINK("https://www.youtube.com/watch?v=fSZRRUPm0ro&amp;feature=youtu.be","Video Solution - Eng Moaz Rashad")</f>
        <v>Video Solution - Eng Moaz Rashad</v>
      </c>
      <c r="N668" s="286" t="s">
        <v>1612</v>
      </c>
      <c r="O668" s="286">
        <v>86</v>
      </c>
      <c r="P668" s="286">
        <v>4</v>
      </c>
      <c r="Q668" s="12" t="s">
        <v>1239</v>
      </c>
    </row>
    <row r="669" spans="1:17" ht="12.5">
      <c r="A669" s="60" t="s">
        <v>715</v>
      </c>
      <c r="B669" s="287" t="str">
        <f>HYPERLINK("http://codeforces.com/contest/268/problem/C","CF268-D2-C")</f>
        <v>CF268-D2-C</v>
      </c>
      <c r="C669" s="67"/>
      <c r="D669" s="67"/>
      <c r="E669" s="67"/>
      <c r="F669" s="67"/>
      <c r="G669" s="67"/>
      <c r="H669" s="67"/>
      <c r="I669" s="36">
        <f t="shared" si="2"/>
        <v>0</v>
      </c>
      <c r="J669" s="36"/>
      <c r="K669" s="36"/>
      <c r="L669" s="67"/>
      <c r="M669" s="286"/>
      <c r="N669" s="286" t="s">
        <v>1621</v>
      </c>
      <c r="O669" s="286">
        <v>86</v>
      </c>
      <c r="P669" s="286">
        <v>4</v>
      </c>
    </row>
    <row r="670" spans="1:17" ht="12.5">
      <c r="A670" s="60" t="s">
        <v>729</v>
      </c>
      <c r="B670" s="287" t="str">
        <f>HYPERLINK("http://codeforces.com/contest/462/problem/C","CF462-D2-C")</f>
        <v>CF462-D2-C</v>
      </c>
      <c r="C670" s="67"/>
      <c r="D670" s="67"/>
      <c r="E670" s="67"/>
      <c r="F670" s="67"/>
      <c r="G670" s="67"/>
      <c r="H670" s="67"/>
      <c r="I670" s="36">
        <f t="shared" si="2"/>
        <v>0</v>
      </c>
      <c r="J670" s="67"/>
      <c r="K670" s="67"/>
      <c r="L670" s="67"/>
      <c r="M670" s="301" t="str">
        <f>HYPERLINK("https://github.com/MedoN11/CompetitiveProgramming/blob/master/Atcoder/CF_462C.java","Sol")</f>
        <v>Sol</v>
      </c>
      <c r="N670" s="286" t="s">
        <v>1622</v>
      </c>
      <c r="O670" s="286">
        <v>86</v>
      </c>
      <c r="P670" s="286">
        <v>4</v>
      </c>
    </row>
    <row r="671" spans="1:17" ht="12.5">
      <c r="A671" s="60" t="s">
        <v>953</v>
      </c>
      <c r="B671" s="287" t="str">
        <f>HYPERLINK("http://codeforces.com/contest/581/problem/D","CF581-D2-D")</f>
        <v>CF581-D2-D</v>
      </c>
      <c r="C671" s="67"/>
      <c r="D671" s="67"/>
      <c r="E671" s="67"/>
      <c r="F671" s="67"/>
      <c r="G671" s="67"/>
      <c r="H671" s="67"/>
      <c r="I671" s="36">
        <f t="shared" si="2"/>
        <v>0</v>
      </c>
      <c r="J671" s="67"/>
      <c r="K671" s="67"/>
      <c r="L671" s="67"/>
      <c r="M671" s="28"/>
      <c r="N671" s="286" t="s">
        <v>1612</v>
      </c>
      <c r="O671" s="286">
        <v>86</v>
      </c>
      <c r="P671" s="286">
        <v>4.5</v>
      </c>
      <c r="Q671" s="12" t="s">
        <v>1243</v>
      </c>
    </row>
    <row r="672" spans="1:17" ht="12.5">
      <c r="A672" s="60" t="s">
        <v>669</v>
      </c>
      <c r="B672" s="287" t="str">
        <f>HYPERLINK("http://codeforces.com/contest/507/problem/C","CF507-D2-C")</f>
        <v>CF507-D2-C</v>
      </c>
      <c r="C672" s="67"/>
      <c r="D672" s="67"/>
      <c r="E672" s="67"/>
      <c r="F672" s="67"/>
      <c r="G672" s="67"/>
      <c r="H672" s="67"/>
      <c r="I672" s="36">
        <f t="shared" si="2"/>
        <v>0</v>
      </c>
      <c r="J672" s="36"/>
      <c r="K672" s="36"/>
      <c r="L672" s="67"/>
      <c r="M672" s="303" t="str">
        <f>HYPERLINK("https://www.youtube.com/watch?v=1Ki1L9BAJIQ","Video Solution - Dr Mostafa Saad")</f>
        <v>Video Solution - Dr Mostafa Saad</v>
      </c>
      <c r="N672" s="286" t="s">
        <v>1617</v>
      </c>
      <c r="O672" s="286">
        <v>86</v>
      </c>
      <c r="P672" s="286">
        <v>4.5</v>
      </c>
      <c r="Q672" s="12" t="s">
        <v>1243</v>
      </c>
    </row>
    <row r="673" spans="1:17" ht="12.5">
      <c r="A673" s="60"/>
      <c r="B673" s="287" t="str">
        <f>HYPERLINK("http://codeforces.com/contest/1043/problem/D", "CF1042-D12-D")</f>
        <v>CF1042-D12-D</v>
      </c>
      <c r="C673" s="67"/>
      <c r="D673" s="67"/>
      <c r="E673" s="67"/>
      <c r="F673" s="67"/>
      <c r="G673" s="67"/>
      <c r="H673" s="67"/>
      <c r="I673" s="36">
        <f t="shared" si="2"/>
        <v>0</v>
      </c>
      <c r="J673" s="67"/>
      <c r="K673" s="67"/>
      <c r="L673" s="67"/>
      <c r="M673" s="28"/>
      <c r="N673" s="286" t="s">
        <v>1623</v>
      </c>
      <c r="O673" s="286">
        <v>86</v>
      </c>
      <c r="P673" s="286">
        <v>5</v>
      </c>
      <c r="Q673" s="12" t="s">
        <v>1243</v>
      </c>
    </row>
    <row r="674" spans="1:17" ht="12.5">
      <c r="A674" s="60" t="s">
        <v>814</v>
      </c>
      <c r="B674" s="287" t="str">
        <f>HYPERLINK("http://codeforces.com/contest/349/problem/C","CF349-D2-C")</f>
        <v>CF349-D2-C</v>
      </c>
      <c r="C674" s="67"/>
      <c r="D674" s="67"/>
      <c r="E674" s="67"/>
      <c r="F674" s="67"/>
      <c r="G674" s="67"/>
      <c r="H674" s="67"/>
      <c r="I674" s="36">
        <f t="shared" si="2"/>
        <v>0</v>
      </c>
      <c r="J674" s="67"/>
      <c r="K674" s="67"/>
      <c r="L674" s="67"/>
      <c r="M674" s="28"/>
      <c r="N674" s="286" t="s">
        <v>1617</v>
      </c>
      <c r="O674" s="286">
        <v>86</v>
      </c>
      <c r="P674" s="286">
        <v>5</v>
      </c>
      <c r="Q674" s="12" t="s">
        <v>1243</v>
      </c>
    </row>
    <row r="675" spans="1:17" ht="12.5">
      <c r="A675" s="60" t="s">
        <v>652</v>
      </c>
      <c r="B675" s="287" t="str">
        <f>HYPERLINK("http://codeforces.com/contest/405/problem/C","CF405-D2-C")</f>
        <v>CF405-D2-C</v>
      </c>
      <c r="C675" s="67"/>
      <c r="D675" s="67"/>
      <c r="E675" s="67"/>
      <c r="F675" s="67"/>
      <c r="G675" s="67"/>
      <c r="H675" s="67"/>
      <c r="I675" s="36">
        <f t="shared" si="2"/>
        <v>0</v>
      </c>
      <c r="J675" s="36"/>
      <c r="K675" s="36"/>
      <c r="L675" s="67"/>
      <c r="M675" s="286"/>
      <c r="N675" s="286" t="s">
        <v>1624</v>
      </c>
      <c r="O675" s="286">
        <v>86</v>
      </c>
      <c r="P675" s="286">
        <v>5</v>
      </c>
      <c r="Q675" s="12" t="s">
        <v>1239</v>
      </c>
    </row>
    <row r="676" spans="1:17" ht="12.5">
      <c r="A676" s="60"/>
      <c r="B676" s="287" t="str">
        <f>HYPERLINK("https://codeforces.com/gym/101187/problem/F","CF101187-GYM-F")</f>
        <v>CF101187-GYM-F</v>
      </c>
      <c r="C676" s="67"/>
      <c r="D676" s="67"/>
      <c r="E676" s="67"/>
      <c r="F676" s="67"/>
      <c r="G676" s="67"/>
      <c r="H676" s="67"/>
      <c r="I676" s="36">
        <f t="shared" si="2"/>
        <v>0</v>
      </c>
      <c r="J676" s="67"/>
      <c r="K676" s="67"/>
      <c r="L676" s="67"/>
      <c r="M676" s="287" t="str">
        <f>HYPERLINK("https://github.com/SpeedOfMagic/CompetitiveProgramming/blob/master/CodeforcesGym/CF101187-GYM-F.cpp","Sol")</f>
        <v>Sol</v>
      </c>
      <c r="N676" s="286" t="s">
        <v>1612</v>
      </c>
      <c r="O676" s="286">
        <v>86</v>
      </c>
      <c r="P676" s="286">
        <v>5.25</v>
      </c>
      <c r="Q676" s="12" t="s">
        <v>1243</v>
      </c>
    </row>
    <row r="677" spans="1:17" ht="12.5">
      <c r="A677" s="60" t="s">
        <v>1117</v>
      </c>
      <c r="B677" s="287" t="str">
        <f>HYPERLINK("http://codeforces.com/contest/435/problem/D","CF435-D2-D")</f>
        <v>CF435-D2-D</v>
      </c>
      <c r="C677" s="67"/>
      <c r="D677" s="67"/>
      <c r="E677" s="67"/>
      <c r="F677" s="67"/>
      <c r="G677" s="67"/>
      <c r="H677" s="67"/>
      <c r="I677" s="36">
        <f t="shared" si="2"/>
        <v>0</v>
      </c>
      <c r="J677" s="36"/>
      <c r="K677" s="36"/>
      <c r="L677" s="302"/>
      <c r="M677" s="191"/>
      <c r="N677" s="286" t="s">
        <v>1625</v>
      </c>
      <c r="O677" s="286">
        <v>86</v>
      </c>
      <c r="P677" s="286">
        <v>5.5</v>
      </c>
      <c r="Q677" s="12" t="s">
        <v>1243</v>
      </c>
    </row>
    <row r="678" spans="1:17" ht="12.5">
      <c r="A678" s="60" t="s">
        <v>246</v>
      </c>
      <c r="B678" s="287" t="str">
        <f>HYPERLINK("http://codeforces.com/contest/1/problem/A","CF1-D12-A")</f>
        <v>CF1-D12-A</v>
      </c>
      <c r="C678" s="67"/>
      <c r="D678" s="67"/>
      <c r="E678" s="67"/>
      <c r="F678" s="67"/>
      <c r="G678" s="67"/>
      <c r="H678" s="67"/>
      <c r="I678" s="36">
        <f t="shared" si="2"/>
        <v>0</v>
      </c>
      <c r="J678" s="67"/>
      <c r="K678" s="36"/>
      <c r="L678" s="67"/>
      <c r="M678" s="290" t="str">
        <f>HYPERLINK("https://www.youtube.com/watch?v=C5qZwZYPMJY","Video Solution - Solver to be (Java)")</f>
        <v>Video Solution - Solver to be (Java)</v>
      </c>
      <c r="N678" s="286" t="s">
        <v>1626</v>
      </c>
      <c r="O678" s="286">
        <v>87</v>
      </c>
      <c r="P678" s="191">
        <v>1.5</v>
      </c>
    </row>
    <row r="679" spans="1:17" ht="12.5">
      <c r="A679" s="60"/>
      <c r="B679" s="98" t="str">
        <f>HYPERLINK("https://codeforces.com/contest/1204/problem/A","CF1204-D2-A")</f>
        <v>CF1204-D2-A</v>
      </c>
      <c r="C679" s="67"/>
      <c r="D679" s="67"/>
      <c r="E679" s="67"/>
      <c r="F679" s="67"/>
      <c r="G679" s="67"/>
      <c r="H679" s="67"/>
      <c r="I679" s="36">
        <f t="shared" si="2"/>
        <v>0</v>
      </c>
      <c r="J679" s="67"/>
      <c r="K679" s="36"/>
      <c r="L679" s="67"/>
      <c r="M679" s="94" t="str">
        <f>HYPERLINK("https://www.youtube.com/watch?v=4ITr6GaZP","Video Solution - Dr Mostafa Saad")</f>
        <v>Video Solution - Dr Mostafa Saad</v>
      </c>
      <c r="N679" s="191" t="s">
        <v>1627</v>
      </c>
      <c r="O679" s="286">
        <v>87</v>
      </c>
      <c r="P679" s="286">
        <v>2</v>
      </c>
      <c r="Q679" s="12" t="s">
        <v>1243</v>
      </c>
    </row>
    <row r="680" spans="1:17" ht="12.5">
      <c r="A680" s="56" t="s">
        <v>270</v>
      </c>
      <c r="B680" s="57" t="str">
        <f>HYPERLINK("https://codeforces.com/contest/1237/problem/A","CF1237-D12-A")</f>
        <v>CF1237-D12-A</v>
      </c>
      <c r="C680" s="10"/>
      <c r="D680" s="10"/>
      <c r="E680" s="10"/>
      <c r="F680" s="10"/>
      <c r="G680" s="10"/>
      <c r="H680" s="10"/>
      <c r="I680" s="36">
        <f t="shared" si="2"/>
        <v>0</v>
      </c>
      <c r="J680" s="67"/>
      <c r="K680" s="36"/>
      <c r="L680" s="67"/>
      <c r="M680" s="49"/>
      <c r="N680" s="286" t="s">
        <v>1628</v>
      </c>
      <c r="O680" s="286">
        <v>87</v>
      </c>
      <c r="P680" s="286">
        <v>2</v>
      </c>
      <c r="Q680" s="12" t="s">
        <v>1245</v>
      </c>
    </row>
    <row r="681" spans="1:17" ht="12.5">
      <c r="A681" s="60" t="s">
        <v>412</v>
      </c>
      <c r="B681" s="287" t="str">
        <f>HYPERLINK("https://icpcarchive.ecs.baylor.edu/index.php?option=com_onlinejudge&amp;Itemid=8&amp;page=show_problem&amp;problem=558","LIVEARCHIVE 2557")</f>
        <v>LIVEARCHIVE 2557</v>
      </c>
      <c r="C681" s="67"/>
      <c r="D681" s="67"/>
      <c r="E681" s="67"/>
      <c r="F681" s="67"/>
      <c r="G681" s="67"/>
      <c r="H681" s="67"/>
      <c r="I681" s="36">
        <f t="shared" si="2"/>
        <v>0</v>
      </c>
      <c r="J681" s="36"/>
      <c r="K681" s="36"/>
      <c r="L681" s="36"/>
      <c r="M681" s="54" t="str">
        <f>HYPERLINK("https://raw.githubusercontent.com/NadaAlaa/CompetitiveProgramming/master/LiveArchive/2557.cpp","Find a formula")</f>
        <v>Find a formula</v>
      </c>
      <c r="N681" s="286" t="s">
        <v>1629</v>
      </c>
      <c r="O681" s="286">
        <v>87</v>
      </c>
      <c r="P681" s="286">
        <v>2</v>
      </c>
      <c r="Q681" s="12" t="s">
        <v>1239</v>
      </c>
    </row>
    <row r="682" spans="1:17" ht="12.5">
      <c r="A682" s="60" t="s">
        <v>218</v>
      </c>
      <c r="B682" s="287" t="str">
        <f>HYPERLINK("https://uva.onlinejudge.org/index.php?option=com_onlinejudge&amp;Itemid=8&amp;page=show_problem&amp;problem=1047","UVA 10106")</f>
        <v>UVA 10106</v>
      </c>
      <c r="C682" s="67"/>
      <c r="D682" s="67"/>
      <c r="E682" s="67"/>
      <c r="F682" s="67"/>
      <c r="G682" s="67"/>
      <c r="H682" s="67"/>
      <c r="I682" s="36">
        <f t="shared" si="2"/>
        <v>0</v>
      </c>
      <c r="J682" s="67"/>
      <c r="K682" s="36"/>
      <c r="L682" s="67"/>
      <c r="M682" s="297" t="str">
        <f>HYPERLINK("https://www.youtube.com/watch?v=KNd6eqRpWqE","Video Solution - Eng Youssef El Ghareeb. Don't solve using big integer")</f>
        <v>Video Solution - Eng Youssef El Ghareeb. Don't solve using big integer</v>
      </c>
      <c r="N682" s="286" t="s">
        <v>1626</v>
      </c>
      <c r="O682" s="286">
        <v>87</v>
      </c>
      <c r="P682" s="286">
        <v>2</v>
      </c>
    </row>
    <row r="683" spans="1:17" ht="12.5">
      <c r="A683" s="60" t="s">
        <v>600</v>
      </c>
      <c r="B683" s="287" t="str">
        <f>HYPERLINK("https://uva.onlinejudge.org/index.php?option=onlinejudge&amp;page=show_problem&amp;problem=1410","UVA 10469")</f>
        <v>UVA 10469</v>
      </c>
      <c r="C683" s="67"/>
      <c r="D683" s="67"/>
      <c r="E683" s="67"/>
      <c r="F683" s="67"/>
      <c r="G683" s="67"/>
      <c r="H683" s="67"/>
      <c r="I683" s="36">
        <f t="shared" si="2"/>
        <v>0</v>
      </c>
      <c r="J683" s="36"/>
      <c r="K683" s="36"/>
      <c r="L683" s="36"/>
      <c r="M683" s="301" t="str">
        <f>HYPERLINK("https://github.com/Diusrex/UVA-Solutions/blob/master/10469%20To%20Carry%20or%20not%20to%20Carry.cpp","Sol")</f>
        <v>Sol</v>
      </c>
      <c r="N683" s="286" t="s">
        <v>1626</v>
      </c>
      <c r="O683" s="286">
        <v>87</v>
      </c>
      <c r="P683" s="286">
        <v>2</v>
      </c>
    </row>
    <row r="684" spans="1:17" ht="12.5">
      <c r="A684" s="60" t="s">
        <v>408</v>
      </c>
      <c r="B684" s="287" t="str">
        <f>HYPERLINK("https://uva.onlinejudge.org/index.php?option=onlinejudge&amp;page=show_problem&amp;problem=654","UVA 713")</f>
        <v>UVA 713</v>
      </c>
      <c r="C684" s="67"/>
      <c r="D684" s="67"/>
      <c r="E684" s="67"/>
      <c r="F684" s="67"/>
      <c r="G684" s="67"/>
      <c r="H684" s="67"/>
      <c r="I684" s="36">
        <f t="shared" si="2"/>
        <v>0</v>
      </c>
      <c r="J684" s="36"/>
      <c r="K684" s="36"/>
      <c r="L684" s="36"/>
      <c r="M684" s="53" t="s">
        <v>409</v>
      </c>
      <c r="N684" s="286" t="s">
        <v>1626</v>
      </c>
      <c r="O684" s="286">
        <v>87</v>
      </c>
      <c r="P684" s="286">
        <v>2</v>
      </c>
    </row>
    <row r="685" spans="1:17" ht="12.5">
      <c r="A685" s="60" t="s">
        <v>432</v>
      </c>
      <c r="B685" s="287" t="str">
        <f>HYPERLINK("http://codeforces.com/contest/476/problem/B","CF476-D2-B")</f>
        <v>CF476-D2-B</v>
      </c>
      <c r="C685" s="67"/>
      <c r="D685" s="67"/>
      <c r="E685" s="67"/>
      <c r="F685" s="67"/>
      <c r="G685" s="67"/>
      <c r="H685" s="67"/>
      <c r="I685" s="36">
        <f t="shared" si="2"/>
        <v>0</v>
      </c>
      <c r="J685" s="36"/>
      <c r="K685" s="36"/>
      <c r="L685" s="67"/>
      <c r="M685" s="290" t="str">
        <f>HYPERLINK("https://www.youtube.com/watch?v=uzA2fH9Ol7I&amp;feature=youtu.be","Video Solution - Eng Mohamed Adel")</f>
        <v>Video Solution - Eng Mohamed Adel</v>
      </c>
      <c r="N685" s="191" t="s">
        <v>1630</v>
      </c>
      <c r="O685" s="191">
        <v>87</v>
      </c>
      <c r="P685" s="286">
        <v>2</v>
      </c>
      <c r="Q685" s="12" t="s">
        <v>1245</v>
      </c>
    </row>
    <row r="686" spans="1:17" ht="12.5">
      <c r="A686" s="60"/>
      <c r="B686" s="287" t="str">
        <f>HYPERLINK("https://codeforces.com/contest/1051/problem/B", "CF1051-D2-B")</f>
        <v>CF1051-D2-B</v>
      </c>
      <c r="C686" s="67"/>
      <c r="D686" s="67"/>
      <c r="E686" s="67"/>
      <c r="F686" s="67"/>
      <c r="G686" s="67"/>
      <c r="H686" s="67"/>
      <c r="I686" s="36">
        <f t="shared" si="2"/>
        <v>0</v>
      </c>
      <c r="J686" s="67"/>
      <c r="K686" s="67"/>
      <c r="L686" s="67"/>
      <c r="M686" s="60"/>
      <c r="N686" s="286" t="s">
        <v>1626</v>
      </c>
      <c r="O686" s="286">
        <v>87</v>
      </c>
      <c r="P686" s="191">
        <v>2.5</v>
      </c>
    </row>
    <row r="687" spans="1:17" ht="12.5">
      <c r="A687" s="60" t="s">
        <v>439</v>
      </c>
      <c r="B687" s="287" t="str">
        <f>HYPERLINK("http://codeforces.com/contest/148/problem/B","CF148-D2-B")</f>
        <v>CF148-D2-B</v>
      </c>
      <c r="C687" s="67"/>
      <c r="D687" s="67"/>
      <c r="E687" s="67"/>
      <c r="F687" s="67"/>
      <c r="G687" s="67"/>
      <c r="H687" s="67"/>
      <c r="I687" s="36">
        <f t="shared" si="2"/>
        <v>0</v>
      </c>
      <c r="J687" s="36"/>
      <c r="K687" s="36"/>
      <c r="L687" s="67"/>
      <c r="M687" s="60"/>
      <c r="N687" s="286" t="s">
        <v>1626</v>
      </c>
      <c r="O687" s="286">
        <v>87</v>
      </c>
      <c r="P687" s="191">
        <v>2.5</v>
      </c>
    </row>
    <row r="688" spans="1:17" ht="12.5">
      <c r="A688" s="60" t="s">
        <v>767</v>
      </c>
      <c r="B688" s="287" t="str">
        <f>HYPERLINK("http://codeforces.com/contest/675/problem/B","CF675-D2-B")</f>
        <v>CF675-D2-B</v>
      </c>
      <c r="C688" s="67"/>
      <c r="D688" s="67"/>
      <c r="E688" s="67"/>
      <c r="F688" s="67"/>
      <c r="G688" s="67"/>
      <c r="H688" s="67"/>
      <c r="I688" s="36">
        <f t="shared" si="2"/>
        <v>0</v>
      </c>
      <c r="J688" s="36"/>
      <c r="K688" s="36"/>
      <c r="L688" s="67"/>
      <c r="M688" s="60"/>
      <c r="N688" s="286" t="s">
        <v>1626</v>
      </c>
      <c r="O688" s="286">
        <v>87</v>
      </c>
      <c r="P688" s="191">
        <v>2.5</v>
      </c>
    </row>
    <row r="689" spans="1:17" ht="12.5">
      <c r="A689" s="60" t="s">
        <v>399</v>
      </c>
      <c r="B689" s="287" t="str">
        <f>HYPERLINK("http://codeforces.com/contest/463/problem/B","CF463-D2-B")</f>
        <v>CF463-D2-B</v>
      </c>
      <c r="C689" s="67"/>
      <c r="D689" s="67"/>
      <c r="E689" s="67"/>
      <c r="F689" s="67"/>
      <c r="G689" s="67"/>
      <c r="H689" s="67"/>
      <c r="I689" s="36">
        <f t="shared" si="2"/>
        <v>0</v>
      </c>
      <c r="J689" s="36"/>
      <c r="K689" s="36"/>
      <c r="L689" s="67"/>
      <c r="M689" s="290" t="str">
        <f>HYPERLINK("https://www.youtube.com/watch?v=c6X5U5HATAA","Video Solution - Eng Muntaser Abukadeja")</f>
        <v>Video Solution - Eng Muntaser Abukadeja</v>
      </c>
      <c r="N689" s="286" t="s">
        <v>1631</v>
      </c>
      <c r="O689" s="286">
        <v>87</v>
      </c>
      <c r="P689" s="191">
        <v>2.5</v>
      </c>
    </row>
    <row r="690" spans="1:17" ht="12.5">
      <c r="A690" s="60" t="s">
        <v>640</v>
      </c>
      <c r="B690" s="287" t="str">
        <f>HYPERLINK("http://codeforces.com/contest/230/problem/B","CF230-D2-B")</f>
        <v>CF230-D2-B</v>
      </c>
      <c r="C690" s="67"/>
      <c r="D690" s="67"/>
      <c r="E690" s="67"/>
      <c r="F690" s="67"/>
      <c r="G690" s="67"/>
      <c r="H690" s="67"/>
      <c r="I690" s="36">
        <f t="shared" si="2"/>
        <v>0</v>
      </c>
      <c r="J690" s="36"/>
      <c r="K690" s="36"/>
      <c r="L690" s="67"/>
      <c r="M690" s="28"/>
      <c r="N690" s="286" t="s">
        <v>1632</v>
      </c>
      <c r="O690" s="286">
        <v>87</v>
      </c>
      <c r="P690" s="191">
        <v>2.5</v>
      </c>
    </row>
    <row r="691" spans="1:17" ht="12.5">
      <c r="A691" s="60"/>
      <c r="B691" s="287" t="str">
        <f>HYPERLINK("https://www.codechef.com/problems/GCDMOD", "CODECHEF GCDMOD")</f>
        <v>CODECHEF GCDMOD</v>
      </c>
      <c r="C691" s="67"/>
      <c r="D691" s="67"/>
      <c r="E691" s="67"/>
      <c r="F691" s="67"/>
      <c r="G691" s="67"/>
      <c r="H691" s="67"/>
      <c r="I691" s="36">
        <f t="shared" si="2"/>
        <v>0</v>
      </c>
      <c r="J691" s="67"/>
      <c r="K691" s="67"/>
      <c r="L691" s="67"/>
      <c r="M691" s="299" t="str">
        <f>HYPERLINK("https://github.com/tmwilliamlin168/CompetitiveProgramming/blob/master/CodeChef/GCDMOD.cpp","Sol uses __int128 to avoid overflow")</f>
        <v>Sol uses __int128 to avoid overflow</v>
      </c>
      <c r="N691" s="286" t="s">
        <v>1633</v>
      </c>
      <c r="O691" s="286">
        <v>87</v>
      </c>
      <c r="P691" s="286">
        <v>3</v>
      </c>
      <c r="Q691" s="12" t="s">
        <v>1245</v>
      </c>
    </row>
    <row r="692" spans="1:17" ht="12.5">
      <c r="A692" s="60" t="s">
        <v>637</v>
      </c>
      <c r="B692" s="287" t="str">
        <f>HYPERLINK("http://codeforces.com/contest/534/problem/C","CF534-D2-C")</f>
        <v>CF534-D2-C</v>
      </c>
      <c r="C692" s="67"/>
      <c r="D692" s="67"/>
      <c r="E692" s="67"/>
      <c r="F692" s="67"/>
      <c r="G692" s="67"/>
      <c r="H692" s="67"/>
      <c r="I692" s="36">
        <f t="shared" si="2"/>
        <v>0</v>
      </c>
      <c r="J692" s="36"/>
      <c r="K692" s="36"/>
      <c r="L692" s="67"/>
      <c r="M692" s="161" t="str">
        <f>HYPERLINK("https://codeforces.com/contest/534/submission/61924545","Sol")</f>
        <v>Sol</v>
      </c>
      <c r="N692" s="286" t="s">
        <v>1634</v>
      </c>
      <c r="O692" s="286">
        <v>87</v>
      </c>
      <c r="P692" s="286">
        <v>3</v>
      </c>
      <c r="Q692" s="12" t="s">
        <v>1245</v>
      </c>
    </row>
    <row r="693" spans="1:17" ht="12.5">
      <c r="A693" s="60"/>
      <c r="B693" s="287" t="str">
        <f>HYPERLINK("https://codeforces.com/contest/1059/problem/C","CF1059-D2-C")</f>
        <v>CF1059-D2-C</v>
      </c>
      <c r="C693" s="67"/>
      <c r="D693" s="67"/>
      <c r="E693" s="67"/>
      <c r="F693" s="67"/>
      <c r="G693" s="67"/>
      <c r="H693" s="67"/>
      <c r="I693" s="36">
        <f t="shared" si="2"/>
        <v>0</v>
      </c>
      <c r="J693" s="67"/>
      <c r="K693" s="67"/>
      <c r="L693" s="67"/>
      <c r="M693" s="28"/>
      <c r="N693" s="286" t="s">
        <v>1635</v>
      </c>
      <c r="O693" s="286">
        <v>87</v>
      </c>
      <c r="P693" s="286">
        <v>4</v>
      </c>
      <c r="Q693" s="12" t="s">
        <v>1245</v>
      </c>
    </row>
    <row r="694" spans="1:17" ht="12.5">
      <c r="A694" s="60" t="s">
        <v>947</v>
      </c>
      <c r="B694" s="287" t="str">
        <f>HYPERLINK("https://uva.onlinejudge.org/index.php?option=com_onlinejudge&amp;Itemid=8&amp;page=show_problem&amp;problem=1647","UVA 10706")</f>
        <v>UVA 10706</v>
      </c>
      <c r="C694" s="67"/>
      <c r="D694" s="67"/>
      <c r="E694" s="67"/>
      <c r="F694" s="67"/>
      <c r="G694" s="67"/>
      <c r="H694" s="67"/>
      <c r="I694" s="36">
        <f t="shared" si="2"/>
        <v>0</v>
      </c>
      <c r="J694" s="67"/>
      <c r="K694" s="67"/>
      <c r="L694" s="67"/>
      <c r="M694" s="191"/>
      <c r="N694" s="286" t="s">
        <v>1626</v>
      </c>
      <c r="O694" s="286">
        <v>87</v>
      </c>
      <c r="P694" s="286">
        <v>4</v>
      </c>
      <c r="Q694" s="12" t="s">
        <v>1243</v>
      </c>
    </row>
    <row r="695" spans="1:17" ht="12.5">
      <c r="A695" s="60" t="s">
        <v>986</v>
      </c>
      <c r="B695" s="287" t="str">
        <f>HYPERLINK("http://codeforces.com/contest/376/problem/C","CF376-D2-C")</f>
        <v>CF376-D2-C</v>
      </c>
      <c r="C695" s="67"/>
      <c r="D695" s="67"/>
      <c r="E695" s="67"/>
      <c r="F695" s="67"/>
      <c r="G695" s="67"/>
      <c r="H695" s="67"/>
      <c r="I695" s="36">
        <f t="shared" si="2"/>
        <v>0</v>
      </c>
      <c r="J695" s="67"/>
      <c r="K695" s="67"/>
      <c r="L695" s="67"/>
      <c r="M695" s="296"/>
      <c r="N695" s="286" t="s">
        <v>1636</v>
      </c>
      <c r="O695" s="286">
        <v>87</v>
      </c>
      <c r="P695" s="286">
        <v>4</v>
      </c>
      <c r="Q695" s="12" t="s">
        <v>1243</v>
      </c>
    </row>
    <row r="696" spans="1:17" ht="12.5">
      <c r="A696" s="60" t="s">
        <v>679</v>
      </c>
      <c r="B696" s="287" t="str">
        <f>HYPERLINK("https://uva.onlinejudge.org/index.php?option=com_onlinejudge&amp;Itemid=8&amp;page=show_problem&amp;problem=1917","UVA 10976")</f>
        <v>UVA 10976</v>
      </c>
      <c r="C696" s="67"/>
      <c r="D696" s="67"/>
      <c r="E696" s="67"/>
      <c r="F696" s="67"/>
      <c r="G696" s="67"/>
      <c r="H696" s="67"/>
      <c r="I696" s="36">
        <f t="shared" si="2"/>
        <v>0</v>
      </c>
      <c r="J696" s="36"/>
      <c r="K696" s="36"/>
      <c r="L696" s="67"/>
      <c r="M696" s="289" t="str">
        <f>HYPERLINK("https://github.com/magdy-hasan/competitive-programming/blob/master/uva-/uva%2010976%20-%20Fractions%20Again!.cpp","Sol to read")</f>
        <v>Sol to read</v>
      </c>
      <c r="N696" s="286" t="s">
        <v>1636</v>
      </c>
      <c r="O696" s="286">
        <v>87</v>
      </c>
      <c r="P696" s="286">
        <v>4</v>
      </c>
      <c r="Q696" s="12" t="s">
        <v>1239</v>
      </c>
    </row>
    <row r="697" spans="1:17" ht="12.5">
      <c r="A697" s="60" t="s">
        <v>937</v>
      </c>
      <c r="B697" s="287" t="str">
        <f>HYPERLINK("http://codeforces.com/contest/186/problem/C","CF186-D2-C")</f>
        <v>CF186-D2-C</v>
      </c>
      <c r="C697" s="67"/>
      <c r="D697" s="67"/>
      <c r="E697" s="67"/>
      <c r="F697" s="67"/>
      <c r="G697" s="67"/>
      <c r="H697" s="67"/>
      <c r="I697" s="36">
        <f t="shared" si="2"/>
        <v>0</v>
      </c>
      <c r="J697" s="67"/>
      <c r="K697" s="67"/>
      <c r="L697" s="67"/>
      <c r="M697" s="28"/>
      <c r="N697" s="286" t="s">
        <v>1626</v>
      </c>
      <c r="O697" s="286">
        <v>87</v>
      </c>
      <c r="P697" s="286">
        <v>4</v>
      </c>
    </row>
    <row r="698" spans="1:17" ht="12.5">
      <c r="A698" s="60" t="s">
        <v>618</v>
      </c>
      <c r="B698" s="287" t="str">
        <f>HYPERLINK("http://codeforces.com/contest/424/problem/C","CF424-D2-C")</f>
        <v>CF424-D2-C</v>
      </c>
      <c r="C698" s="67"/>
      <c r="D698" s="67"/>
      <c r="E698" s="67"/>
      <c r="F698" s="67"/>
      <c r="G698" s="67"/>
      <c r="H698" s="67"/>
      <c r="I698" s="36">
        <f t="shared" si="2"/>
        <v>0</v>
      </c>
      <c r="J698" s="36"/>
      <c r="K698" s="36"/>
      <c r="L698" s="67"/>
      <c r="M698" s="60"/>
      <c r="N698" s="286" t="s">
        <v>1626</v>
      </c>
      <c r="O698" s="286">
        <v>87</v>
      </c>
      <c r="P698" s="286">
        <v>4</v>
      </c>
    </row>
    <row r="699" spans="1:17" ht="12.5">
      <c r="A699" s="60" t="s">
        <v>585</v>
      </c>
      <c r="B699" s="287" t="str">
        <f>HYPERLINK("http://codeforces.com/contest/588/problem/B","CF588-D2-B")</f>
        <v>CF588-D2-B</v>
      </c>
      <c r="C699" s="67"/>
      <c r="D699" s="67"/>
      <c r="E699" s="67"/>
      <c r="F699" s="67"/>
      <c r="G699" s="67"/>
      <c r="H699" s="67"/>
      <c r="I699" s="36">
        <f t="shared" si="2"/>
        <v>0</v>
      </c>
      <c r="J699" s="36"/>
      <c r="K699" s="36"/>
      <c r="L699" s="67"/>
      <c r="M699" s="28"/>
      <c r="N699" s="286" t="s">
        <v>1626</v>
      </c>
      <c r="O699" s="286">
        <v>87</v>
      </c>
      <c r="P699" s="286">
        <v>4</v>
      </c>
    </row>
    <row r="700" spans="1:17" ht="12.5">
      <c r="A700" s="60" t="s">
        <v>217</v>
      </c>
      <c r="B700" s="287" t="str">
        <f>HYPERLINK("https://uva.onlinejudge.org/index.php?option=com_onlinejudge&amp;Itemid=8&amp;page=show_problem&amp;problem=1051","UVA 10110")</f>
        <v>UVA 10110</v>
      </c>
      <c r="C700" s="67"/>
      <c r="D700" s="67"/>
      <c r="E700" s="67"/>
      <c r="F700" s="67"/>
      <c r="G700" s="67"/>
      <c r="H700" s="67"/>
      <c r="I700" s="36">
        <f t="shared" si="2"/>
        <v>0</v>
      </c>
      <c r="J700" s="67"/>
      <c r="K700" s="36"/>
      <c r="L700" s="67"/>
      <c r="M700" s="297" t="str">
        <f>HYPERLINK("https://www.youtube.com/watch?v=6unjJwXC5gI&amp;feature=youtu.be","Video Solution - Eng Amr Saud")</f>
        <v>Video Solution - Eng Amr Saud</v>
      </c>
      <c r="N700" s="286" t="s">
        <v>1626</v>
      </c>
      <c r="O700" s="286">
        <v>87</v>
      </c>
      <c r="P700" s="286">
        <v>4</v>
      </c>
    </row>
    <row r="701" spans="1:17" ht="12.5">
      <c r="A701" s="60" t="s">
        <v>741</v>
      </c>
      <c r="B701" s="287" t="str">
        <f>HYPERLINK("https://uva.onlinejudge.org/index.php?option=com_onlinejudge&amp;Itemid=8&amp;page=show_problem&amp;problem=49","UVA 113")</f>
        <v>UVA 113</v>
      </c>
      <c r="C701" s="67"/>
      <c r="D701" s="67"/>
      <c r="E701" s="67"/>
      <c r="F701" s="67"/>
      <c r="G701" s="67"/>
      <c r="H701" s="67"/>
      <c r="I701" s="36">
        <f t="shared" si="2"/>
        <v>0</v>
      </c>
      <c r="J701" s="36"/>
      <c r="K701" s="36"/>
      <c r="L701" s="67"/>
      <c r="M701" s="173" t="str">
        <f>HYPERLINK("https://github.com/magdy-hasan/competitive-programming/blob/master/uva-/uva%20113%20-%20Power%20of%20Cryptography.cpp","Sol to read")</f>
        <v>Sol to read</v>
      </c>
      <c r="N701" s="309" t="s">
        <v>1637</v>
      </c>
      <c r="O701" s="286">
        <v>87</v>
      </c>
      <c r="P701" s="286">
        <v>4</v>
      </c>
      <c r="Q701" s="12" t="s">
        <v>1245</v>
      </c>
    </row>
    <row r="702" spans="1:17" ht="12.5">
      <c r="A702" s="60" t="s">
        <v>609</v>
      </c>
      <c r="B702" s="287" t="str">
        <f>HYPERLINK("http://codeforces.com/contest/71/problem/C","CF71-D2-C")</f>
        <v>CF71-D2-C</v>
      </c>
      <c r="C702" s="67"/>
      <c r="D702" s="67"/>
      <c r="E702" s="67"/>
      <c r="F702" s="67"/>
      <c r="G702" s="67"/>
      <c r="H702" s="67"/>
      <c r="I702" s="36">
        <f t="shared" si="2"/>
        <v>0</v>
      </c>
      <c r="J702" s="36"/>
      <c r="K702" s="36"/>
      <c r="L702" s="67"/>
      <c r="M702" s="286"/>
      <c r="N702" s="286" t="s">
        <v>1638</v>
      </c>
      <c r="O702" s="286">
        <v>87</v>
      </c>
      <c r="P702" s="286">
        <v>4</v>
      </c>
    </row>
    <row r="703" spans="1:17" ht="12.5">
      <c r="A703" s="60" t="s">
        <v>581</v>
      </c>
      <c r="B703" s="287" t="str">
        <f>HYPERLINK("http://codeforces.com/contest/304/problem/C","CF304-D2-C")</f>
        <v>CF304-D2-C</v>
      </c>
      <c r="C703" s="67"/>
      <c r="D703" s="67"/>
      <c r="E703" s="67"/>
      <c r="F703" s="67"/>
      <c r="G703" s="67"/>
      <c r="H703" s="67"/>
      <c r="I703" s="36">
        <f t="shared" si="2"/>
        <v>0</v>
      </c>
      <c r="J703" s="67"/>
      <c r="K703" s="67"/>
      <c r="L703" s="67"/>
      <c r="M703" s="28"/>
      <c r="N703" s="286" t="s">
        <v>1635</v>
      </c>
      <c r="O703" s="286">
        <v>87</v>
      </c>
      <c r="P703" s="286">
        <v>4</v>
      </c>
    </row>
    <row r="704" spans="1:17" ht="12.5">
      <c r="A704" s="60" t="s">
        <v>608</v>
      </c>
      <c r="B704" s="287" t="str">
        <f>HYPERLINK("http://codeforces.com/contest/577/problem/C","CF577-D2-C")</f>
        <v>CF577-D2-C</v>
      </c>
      <c r="C704" s="67"/>
      <c r="D704" s="67"/>
      <c r="E704" s="67"/>
      <c r="F704" s="67"/>
      <c r="G704" s="67"/>
      <c r="H704" s="67"/>
      <c r="I704" s="36">
        <f t="shared" si="2"/>
        <v>0</v>
      </c>
      <c r="J704" s="36"/>
      <c r="K704" s="36"/>
      <c r="L704" s="67"/>
      <c r="M704" s="28"/>
      <c r="N704" s="286" t="s">
        <v>1631</v>
      </c>
      <c r="O704" s="286">
        <v>87</v>
      </c>
      <c r="P704" s="286">
        <v>4</v>
      </c>
      <c r="Q704" s="12" t="s">
        <v>1243</v>
      </c>
    </row>
    <row r="705" spans="1:17" ht="12.5">
      <c r="A705" s="60"/>
      <c r="B705" s="99" t="str">
        <f>HYPERLINK("https://codeforces.com/contest/1239/problem/A","CF1239-D1-A")</f>
        <v>CF1239-D1-A</v>
      </c>
      <c r="C705" s="67"/>
      <c r="D705" s="67"/>
      <c r="E705" s="67"/>
      <c r="F705" s="67"/>
      <c r="G705" s="67"/>
      <c r="H705" s="67"/>
      <c r="I705" s="36">
        <f t="shared" si="2"/>
        <v>0</v>
      </c>
      <c r="J705" s="36"/>
      <c r="K705" s="36"/>
      <c r="L705" s="67"/>
      <c r="M705" s="286"/>
      <c r="N705" s="286" t="s">
        <v>1639</v>
      </c>
      <c r="O705" s="286">
        <v>87</v>
      </c>
      <c r="P705" s="286">
        <v>4.25</v>
      </c>
      <c r="Q705" s="12" t="s">
        <v>1245</v>
      </c>
    </row>
    <row r="706" spans="1:17" ht="12.5">
      <c r="A706" s="60" t="s">
        <v>1031</v>
      </c>
      <c r="B706" s="287" t="str">
        <f>HYPERLINK("https://uva.onlinejudge.org/index.php?option=com_onlinejudge&amp;Itemid=8&amp;page=show_problem&amp;problem=966","UVA 10025")</f>
        <v>UVA 10025</v>
      </c>
      <c r="C706" s="67"/>
      <c r="D706" s="67"/>
      <c r="E706" s="67"/>
      <c r="F706" s="67"/>
      <c r="G706" s="67"/>
      <c r="H706" s="67"/>
      <c r="I706" s="36">
        <f t="shared" si="2"/>
        <v>0</v>
      </c>
      <c r="J706" s="36"/>
      <c r="K706" s="36"/>
      <c r="L706" s="67"/>
      <c r="M706" s="286"/>
      <c r="N706" s="286" t="s">
        <v>1640</v>
      </c>
      <c r="O706" s="286">
        <v>87</v>
      </c>
      <c r="P706" s="286">
        <v>4.5</v>
      </c>
      <c r="Q706" s="12" t="s">
        <v>1243</v>
      </c>
    </row>
    <row r="707" spans="1:17" ht="12.5">
      <c r="A707" s="60" t="s">
        <v>1641</v>
      </c>
      <c r="B707" s="287" t="str">
        <f>HYPERLINK("http://codeforces.com/contest/334/problem/C","CF334-D2-C")</f>
        <v>CF334-D2-C</v>
      </c>
      <c r="C707" s="67"/>
      <c r="D707" s="67"/>
      <c r="E707" s="67"/>
      <c r="F707" s="67"/>
      <c r="G707" s="67"/>
      <c r="H707" s="67"/>
      <c r="I707" s="36">
        <f t="shared" si="2"/>
        <v>0</v>
      </c>
      <c r="J707" s="36"/>
      <c r="K707" s="36"/>
      <c r="L707" s="67"/>
      <c r="M707" s="286"/>
      <c r="N707" s="286" t="s">
        <v>1626</v>
      </c>
      <c r="O707" s="286">
        <v>87</v>
      </c>
      <c r="P707" s="286">
        <v>4.5</v>
      </c>
    </row>
    <row r="708" spans="1:17" ht="12.5">
      <c r="A708" s="60" t="s">
        <v>690</v>
      </c>
      <c r="B708" s="287" t="str">
        <f>HYPERLINK("http://codeforces.com/contest/834/problem/C","CF834-D2-C")</f>
        <v>CF834-D2-C</v>
      </c>
      <c r="C708" s="67"/>
      <c r="D708" s="67"/>
      <c r="E708" s="67"/>
      <c r="F708" s="67"/>
      <c r="G708" s="67"/>
      <c r="H708" s="67"/>
      <c r="I708" s="36">
        <f t="shared" si="2"/>
        <v>0</v>
      </c>
      <c r="J708" s="36"/>
      <c r="K708" s="36"/>
      <c r="L708" s="67"/>
      <c r="M708" s="290" t="str">
        <f>HYPERLINK("https://www.youtube.com/watch?v=tge-NMPdndc","Video Solution - Solver to be (Java)")</f>
        <v>Video Solution - Solver to be (Java)</v>
      </c>
      <c r="N708" s="286" t="s">
        <v>1626</v>
      </c>
      <c r="O708" s="286">
        <v>87</v>
      </c>
      <c r="P708" s="286">
        <v>4.5</v>
      </c>
    </row>
    <row r="709" spans="1:17" ht="12.5">
      <c r="A709" s="60" t="s">
        <v>622</v>
      </c>
      <c r="B709" s="287" t="str">
        <f>HYPERLINK("http://codeforces.com/contest/353/problem/C","CF353-D2-C")</f>
        <v>CF353-D2-C</v>
      </c>
      <c r="C709" s="67"/>
      <c r="D709" s="67"/>
      <c r="E709" s="67"/>
      <c r="F709" s="67"/>
      <c r="G709" s="67"/>
      <c r="H709" s="67"/>
      <c r="I709" s="36">
        <f t="shared" si="2"/>
        <v>0</v>
      </c>
      <c r="J709" s="36"/>
      <c r="K709" s="36"/>
      <c r="L709" s="67"/>
      <c r="M709" s="28"/>
      <c r="N709" s="286" t="s">
        <v>1642</v>
      </c>
      <c r="O709" s="286">
        <v>87</v>
      </c>
      <c r="P709" s="286">
        <v>4.5</v>
      </c>
    </row>
    <row r="710" spans="1:17" ht="12.5">
      <c r="A710" s="60" t="s">
        <v>1151</v>
      </c>
      <c r="B710" s="287" t="str">
        <f>HYPERLINK("http://codeforces.com/contest/716/problem/C","CF716-D2-C")</f>
        <v>CF716-D2-C</v>
      </c>
      <c r="C710" s="67"/>
      <c r="D710" s="67"/>
      <c r="E710" s="67"/>
      <c r="F710" s="67"/>
      <c r="G710" s="67"/>
      <c r="H710" s="67"/>
      <c r="I710" s="36">
        <f t="shared" si="2"/>
        <v>0</v>
      </c>
      <c r="J710" s="36"/>
      <c r="K710" s="36"/>
      <c r="L710" s="302"/>
      <c r="M710" s="28"/>
      <c r="N710" s="286" t="s">
        <v>1635</v>
      </c>
      <c r="O710" s="286">
        <v>87</v>
      </c>
      <c r="P710" s="286">
        <v>4.5</v>
      </c>
    </row>
    <row r="711" spans="1:17" ht="12.5">
      <c r="A711" s="60" t="s">
        <v>1008</v>
      </c>
      <c r="B711" s="287" t="str">
        <f>HYPERLINK("http://codeforces.com/contest/680/problem/C","CF680-D2-C")</f>
        <v>CF680-D2-C</v>
      </c>
      <c r="C711" s="67"/>
      <c r="D711" s="67"/>
      <c r="E711" s="67"/>
      <c r="F711" s="67"/>
      <c r="G711" s="67"/>
      <c r="H711" s="67"/>
      <c r="I711" s="36">
        <f t="shared" si="2"/>
        <v>0</v>
      </c>
      <c r="J711" s="67"/>
      <c r="K711" s="67"/>
      <c r="L711" s="67"/>
      <c r="M711" s="28"/>
      <c r="N711" s="286" t="s">
        <v>1643</v>
      </c>
      <c r="O711" s="286">
        <v>87</v>
      </c>
      <c r="P711" s="286">
        <v>4.5</v>
      </c>
    </row>
    <row r="712" spans="1:17" ht="12.5">
      <c r="A712" s="60"/>
      <c r="B712" s="287" t="str">
        <f>HYPERLINK("http://codeforces.com/contest/1040/problem/D","CF1040-D2-D")</f>
        <v>CF1040-D2-D</v>
      </c>
      <c r="C712" s="67"/>
      <c r="D712" s="67"/>
      <c r="E712" s="67"/>
      <c r="F712" s="67"/>
      <c r="G712" s="67"/>
      <c r="H712" s="67"/>
      <c r="I712" s="36">
        <f t="shared" si="2"/>
        <v>0</v>
      </c>
      <c r="J712" s="67"/>
      <c r="K712" s="67"/>
      <c r="L712" s="67"/>
      <c r="M712" s="296"/>
      <c r="N712" s="286" t="s">
        <v>1644</v>
      </c>
      <c r="O712" s="286">
        <v>87</v>
      </c>
      <c r="P712" s="286">
        <v>5</v>
      </c>
      <c r="Q712" s="12" t="s">
        <v>1270</v>
      </c>
    </row>
    <row r="713" spans="1:17" ht="12.5">
      <c r="A713" s="60" t="s">
        <v>1005</v>
      </c>
      <c r="B713" s="287" t="str">
        <f>HYPERLINK("http://codeforces.com/contest/451/problem/D","CF451-D2-D")</f>
        <v>CF451-D2-D</v>
      </c>
      <c r="C713" s="67"/>
      <c r="D713" s="67"/>
      <c r="E713" s="67"/>
      <c r="F713" s="67"/>
      <c r="G713" s="67"/>
      <c r="H713" s="67"/>
      <c r="I713" s="36">
        <f t="shared" si="2"/>
        <v>0</v>
      </c>
      <c r="J713" s="36"/>
      <c r="K713" s="36"/>
      <c r="L713" s="67"/>
      <c r="M713" s="60"/>
      <c r="N713" s="286" t="s">
        <v>1645</v>
      </c>
      <c r="O713" s="286">
        <v>87</v>
      </c>
      <c r="P713" s="286">
        <v>5</v>
      </c>
      <c r="Q713" s="12" t="s">
        <v>1245</v>
      </c>
    </row>
    <row r="714" spans="1:17" ht="12.5">
      <c r="A714" s="60" t="s">
        <v>919</v>
      </c>
      <c r="B714" s="287" t="str">
        <f>HYPERLINK("http://codeforces.com/contest/535/problem/C","CF535-D2-C")</f>
        <v>CF535-D2-C</v>
      </c>
      <c r="C714" s="67"/>
      <c r="D714" s="67"/>
      <c r="E714" s="67"/>
      <c r="F714" s="67"/>
      <c r="G714" s="67"/>
      <c r="H714" s="67"/>
      <c r="I714" s="36">
        <f t="shared" si="2"/>
        <v>0</v>
      </c>
      <c r="J714" s="36"/>
      <c r="K714" s="36"/>
      <c r="L714" s="67"/>
      <c r="M714" s="60"/>
      <c r="N714" s="286" t="s">
        <v>1646</v>
      </c>
      <c r="O714" s="286">
        <v>87</v>
      </c>
      <c r="P714" s="286">
        <v>5</v>
      </c>
      <c r="Q714" s="12" t="s">
        <v>1243</v>
      </c>
    </row>
    <row r="715" spans="1:17" ht="12.5">
      <c r="A715" s="60" t="s">
        <v>969</v>
      </c>
      <c r="B715" s="287" t="str">
        <f>HYPERLINK("http://codeforces.com/contest/701/problem/D","CF701-D2-D")</f>
        <v>CF701-D2-D</v>
      </c>
      <c r="C715" s="67"/>
      <c r="D715" s="67"/>
      <c r="E715" s="67"/>
      <c r="F715" s="67"/>
      <c r="G715" s="67"/>
      <c r="H715" s="67"/>
      <c r="I715" s="36">
        <f t="shared" si="2"/>
        <v>0</v>
      </c>
      <c r="J715" s="67"/>
      <c r="K715" s="67"/>
      <c r="L715" s="67"/>
      <c r="M715" s="28"/>
      <c r="N715" s="286" t="s">
        <v>1647</v>
      </c>
      <c r="O715" s="286">
        <v>87</v>
      </c>
      <c r="P715" s="286">
        <v>5</v>
      </c>
      <c r="Q715" s="12" t="s">
        <v>1243</v>
      </c>
    </row>
    <row r="716" spans="1:17" ht="12.5">
      <c r="A716" s="60"/>
      <c r="B716" s="287" t="str">
        <f>HYPERLINK("http://codeforces.com/problemset/problem/955/C","CF955-D2-C")</f>
        <v>CF955-D2-C</v>
      </c>
      <c r="C716" s="67"/>
      <c r="D716" s="67"/>
      <c r="E716" s="67"/>
      <c r="F716" s="67"/>
      <c r="G716" s="67"/>
      <c r="H716" s="67"/>
      <c r="I716" s="36">
        <f t="shared" si="2"/>
        <v>0</v>
      </c>
      <c r="J716" s="36"/>
      <c r="K716" s="36"/>
      <c r="L716" s="67"/>
      <c r="M716" s="286"/>
      <c r="N716" s="286" t="s">
        <v>1636</v>
      </c>
      <c r="O716" s="286">
        <v>87</v>
      </c>
      <c r="P716" s="286">
        <v>5</v>
      </c>
      <c r="Q716" s="12" t="s">
        <v>1243</v>
      </c>
    </row>
    <row r="717" spans="1:17" ht="12.5">
      <c r="A717" s="60"/>
      <c r="B717" s="287" t="str">
        <f>HYPERLINK("http://codeforces.com/contest/45/problem/D","CF45-D12-D")</f>
        <v>CF45-D12-D</v>
      </c>
      <c r="C717" s="67"/>
      <c r="D717" s="67"/>
      <c r="E717" s="67"/>
      <c r="F717" s="67"/>
      <c r="G717" s="67"/>
      <c r="H717" s="67"/>
      <c r="I717" s="36">
        <f t="shared" si="2"/>
        <v>0</v>
      </c>
      <c r="J717" s="36"/>
      <c r="K717" s="36"/>
      <c r="L717" s="67"/>
      <c r="M717" s="60"/>
      <c r="N717" s="286" t="s">
        <v>1648</v>
      </c>
      <c r="O717" s="286">
        <v>87</v>
      </c>
      <c r="P717" s="286">
        <v>5</v>
      </c>
      <c r="Q717" s="12" t="s">
        <v>1243</v>
      </c>
    </row>
    <row r="718" spans="1:17" ht="12.5">
      <c r="A718" s="60" t="s">
        <v>1150</v>
      </c>
      <c r="B718" s="287" t="str">
        <f>HYPERLINK("http://codeforces.com/contest/322/problem/C","CF322-D2-C")</f>
        <v>CF322-D2-C</v>
      </c>
      <c r="C718" s="67"/>
      <c r="D718" s="67"/>
      <c r="E718" s="67"/>
      <c r="F718" s="67"/>
      <c r="G718" s="67"/>
      <c r="H718" s="67"/>
      <c r="I718" s="36">
        <f t="shared" si="2"/>
        <v>0</v>
      </c>
      <c r="J718" s="36"/>
      <c r="K718" s="36"/>
      <c r="L718" s="302"/>
      <c r="M718" s="28"/>
      <c r="N718" s="286" t="s">
        <v>1649</v>
      </c>
      <c r="O718" s="286">
        <v>87</v>
      </c>
      <c r="P718" s="286">
        <v>5</v>
      </c>
      <c r="Q718" s="12" t="s">
        <v>1239</v>
      </c>
    </row>
    <row r="719" spans="1:17" ht="12.5">
      <c r="A719" s="60" t="s">
        <v>655</v>
      </c>
      <c r="B719" s="287" t="str">
        <f>HYPERLINK("http://codeforces.com/contest/499/problem/C","CF499-D2-C")</f>
        <v>CF499-D2-C</v>
      </c>
      <c r="C719" s="67"/>
      <c r="D719" s="67"/>
      <c r="E719" s="67"/>
      <c r="F719" s="67"/>
      <c r="G719" s="67"/>
      <c r="H719" s="67"/>
      <c r="I719" s="36">
        <f t="shared" si="2"/>
        <v>0</v>
      </c>
      <c r="J719" s="67"/>
      <c r="K719" s="67"/>
      <c r="L719" s="67"/>
      <c r="M719" s="154" t="str">
        <f>HYPERLINK("https://www.youtube.com/watch?v=xwaGi6lx6Fg","Video Solution - Dr Mostafa Saad")</f>
        <v>Video Solution - Dr Mostafa Saad</v>
      </c>
      <c r="N719" s="286" t="s">
        <v>1650</v>
      </c>
      <c r="O719" s="286">
        <v>87</v>
      </c>
      <c r="P719" s="286">
        <v>5</v>
      </c>
      <c r="Q719" s="12" t="s">
        <v>1239</v>
      </c>
    </row>
    <row r="720" spans="1:17" ht="12.5">
      <c r="A720" s="60" t="s">
        <v>816</v>
      </c>
      <c r="B720" s="287" t="str">
        <f>HYPERLINK("http://codeforces.com/contest/199/problem/C","CF199-D2-C")</f>
        <v>CF199-D2-C</v>
      </c>
      <c r="C720" s="67"/>
      <c r="D720" s="67"/>
      <c r="E720" s="67"/>
      <c r="F720" s="67"/>
      <c r="G720" s="67"/>
      <c r="H720" s="67"/>
      <c r="I720" s="36">
        <f t="shared" si="2"/>
        <v>0</v>
      </c>
      <c r="J720" s="67"/>
      <c r="K720" s="67"/>
      <c r="L720" s="67"/>
      <c r="M720" s="28"/>
      <c r="N720" s="286" t="s">
        <v>1626</v>
      </c>
      <c r="O720" s="286">
        <v>87</v>
      </c>
      <c r="P720" s="286">
        <v>5</v>
      </c>
    </row>
    <row r="721" spans="1:17" ht="12.5">
      <c r="A721" s="60" t="s">
        <v>817</v>
      </c>
      <c r="B721" s="287" t="str">
        <f>HYPERLINK("http://codeforces.com/contest/520/problem/C","CF520-D2-C")</f>
        <v>CF520-D2-C</v>
      </c>
      <c r="C721" s="67"/>
      <c r="D721" s="67"/>
      <c r="E721" s="67"/>
      <c r="F721" s="67"/>
      <c r="G721" s="67"/>
      <c r="H721" s="67"/>
      <c r="I721" s="36">
        <f t="shared" si="2"/>
        <v>0</v>
      </c>
      <c r="J721" s="67"/>
      <c r="K721" s="67"/>
      <c r="L721" s="67"/>
      <c r="M721" s="28"/>
      <c r="N721" s="286" t="s">
        <v>1626</v>
      </c>
      <c r="O721" s="286">
        <v>87</v>
      </c>
      <c r="P721" s="286">
        <v>5</v>
      </c>
    </row>
    <row r="722" spans="1:17" ht="12.5">
      <c r="A722" s="60" t="s">
        <v>748</v>
      </c>
      <c r="B722" s="287" t="str">
        <f>HYPERLINK("http://codeforces.com/contest/451/problem/C","CF451-D2-C")</f>
        <v>CF451-D2-C</v>
      </c>
      <c r="C722" s="67"/>
      <c r="D722" s="67"/>
      <c r="E722" s="67"/>
      <c r="F722" s="67"/>
      <c r="G722" s="67"/>
      <c r="H722" s="67"/>
      <c r="I722" s="36">
        <f t="shared" si="2"/>
        <v>0</v>
      </c>
      <c r="J722" s="36"/>
      <c r="K722" s="36"/>
      <c r="L722" s="67"/>
      <c r="M722" s="60"/>
      <c r="N722" s="286" t="s">
        <v>1651</v>
      </c>
      <c r="O722" s="286">
        <v>87</v>
      </c>
      <c r="P722" s="286">
        <v>5</v>
      </c>
      <c r="Q722" s="12" t="s">
        <v>1243</v>
      </c>
    </row>
    <row r="723" spans="1:17" ht="12.5">
      <c r="A723" s="60" t="s">
        <v>1007</v>
      </c>
      <c r="B723" s="287" t="str">
        <f>HYPERLINK("http://codeforces.com/contest/195/problem/D","CF195-D2-D")</f>
        <v>CF195-D2-D</v>
      </c>
      <c r="C723" s="67"/>
      <c r="D723" s="67"/>
      <c r="E723" s="67"/>
      <c r="F723" s="67"/>
      <c r="G723" s="67"/>
      <c r="H723" s="67"/>
      <c r="I723" s="36">
        <f t="shared" si="2"/>
        <v>0</v>
      </c>
      <c r="J723" s="36"/>
      <c r="K723" s="36"/>
      <c r="L723" s="67"/>
      <c r="M723" s="60"/>
      <c r="N723" s="286" t="s">
        <v>1652</v>
      </c>
      <c r="O723" s="286">
        <v>87</v>
      </c>
      <c r="P723" s="286">
        <v>5</v>
      </c>
    </row>
    <row r="724" spans="1:17" ht="12.5">
      <c r="A724" s="60"/>
      <c r="B724" s="287" t="str">
        <f>HYPERLINK("http://codeforces.com/problemset/problem/1016/D","CF1016-D12-D")</f>
        <v>CF1016-D12-D</v>
      </c>
      <c r="C724" s="67"/>
      <c r="D724" s="67"/>
      <c r="E724" s="67"/>
      <c r="F724" s="67"/>
      <c r="G724" s="67"/>
      <c r="H724" s="67"/>
      <c r="I724" s="36">
        <f t="shared" si="2"/>
        <v>0</v>
      </c>
      <c r="J724" s="67"/>
      <c r="K724" s="67"/>
      <c r="L724" s="67"/>
      <c r="M724" s="191"/>
      <c r="N724" s="286" t="s">
        <v>1653</v>
      </c>
      <c r="O724" s="286">
        <v>87</v>
      </c>
      <c r="P724" s="286">
        <v>5.25</v>
      </c>
      <c r="Q724" s="12" t="s">
        <v>1245</v>
      </c>
    </row>
    <row r="725" spans="1:17" ht="12.5">
      <c r="A725" s="60" t="s">
        <v>911</v>
      </c>
      <c r="B725" s="287" t="str">
        <f>HYPERLINK("http://codeforces.com/contest/151/problem/D","CF151-D2-D")</f>
        <v>CF151-D2-D</v>
      </c>
      <c r="C725" s="67"/>
      <c r="D725" s="67"/>
      <c r="E725" s="67"/>
      <c r="F725" s="67"/>
      <c r="G725" s="67"/>
      <c r="H725" s="67"/>
      <c r="I725" s="36">
        <f t="shared" si="2"/>
        <v>0</v>
      </c>
      <c r="J725" s="36"/>
      <c r="K725" s="36"/>
      <c r="L725" s="67"/>
      <c r="M725" s="60"/>
      <c r="N725" s="309" t="s">
        <v>1654</v>
      </c>
      <c r="O725" s="286">
        <v>87</v>
      </c>
      <c r="P725" s="286">
        <v>5.5</v>
      </c>
      <c r="Q725" s="12" t="s">
        <v>1270</v>
      </c>
    </row>
    <row r="726" spans="1:17" ht="12.5">
      <c r="A726" s="60" t="s">
        <v>1203</v>
      </c>
      <c r="B726" s="287" t="str">
        <f>HYPERLINK("http://codeforces.com/contest/9/problem/D","CF9-D2-D")</f>
        <v>CF9-D2-D</v>
      </c>
      <c r="C726" s="67"/>
      <c r="D726" s="67"/>
      <c r="E726" s="67"/>
      <c r="F726" s="67"/>
      <c r="G726" s="67"/>
      <c r="H726" s="67"/>
      <c r="I726" s="36">
        <f t="shared" si="2"/>
        <v>0</v>
      </c>
      <c r="J726" s="67"/>
      <c r="K726" s="67"/>
      <c r="L726" s="302"/>
      <c r="M726" s="191"/>
      <c r="N726" s="286" t="s">
        <v>1655</v>
      </c>
      <c r="O726" s="286">
        <v>87</v>
      </c>
      <c r="P726" s="286">
        <v>5.5</v>
      </c>
      <c r="Q726" s="12" t="s">
        <v>1243</v>
      </c>
    </row>
    <row r="727" spans="1:17" ht="12.5">
      <c r="A727" s="60" t="s">
        <v>1051</v>
      </c>
      <c r="B727" s="287" t="str">
        <f>HYPERLINK("https://uva.onlinejudge.org/index.php?option=com_onlinejudge&amp;Itemid=8&amp;page=show_problem&amp;problem=62","UVA 126")</f>
        <v>UVA 126</v>
      </c>
      <c r="C727" s="67"/>
      <c r="D727" s="67"/>
      <c r="E727" s="67"/>
      <c r="F727" s="67"/>
      <c r="G727" s="67"/>
      <c r="H727" s="67"/>
      <c r="I727" s="36">
        <f t="shared" si="2"/>
        <v>0</v>
      </c>
      <c r="J727" s="36"/>
      <c r="K727" s="36"/>
      <c r="L727" s="302"/>
      <c r="M727" s="301" t="str">
        <f>HYPERLINK("https://github.com/abdullaAshraf/Problem-Solving/blob/master/UVA/126.cpp","Sol")</f>
        <v>Sol</v>
      </c>
      <c r="N727" s="286" t="s">
        <v>1626</v>
      </c>
      <c r="O727" s="286">
        <v>87</v>
      </c>
      <c r="P727" s="286">
        <v>5.5</v>
      </c>
    </row>
    <row r="728" spans="1:17" ht="12.5">
      <c r="A728" s="60" t="s">
        <v>647</v>
      </c>
      <c r="B728" s="287" t="str">
        <f>HYPERLINK("https://uva.onlinejudge.org/index.php?option=com_onlinejudge&amp;Itemid=8&amp;page=show_problem&amp;problem=64","UVA 128")</f>
        <v>UVA 128</v>
      </c>
      <c r="C728" s="67"/>
      <c r="D728" s="67"/>
      <c r="E728" s="67"/>
      <c r="F728" s="67"/>
      <c r="G728" s="67"/>
      <c r="H728" s="67"/>
      <c r="I728" s="36">
        <f t="shared" si="2"/>
        <v>0</v>
      </c>
      <c r="J728" s="36"/>
      <c r="K728" s="36"/>
      <c r="L728" s="67"/>
      <c r="M728" s="116" t="str">
        <f>HYPERLINK("https://www.youtube.com/watch?v=ifTqIif9WJg","Video Solution - Eng Moaz Rashad")</f>
        <v>Video Solution - Eng Moaz Rashad</v>
      </c>
      <c r="N728" s="286" t="s">
        <v>1626</v>
      </c>
      <c r="O728" s="286">
        <v>87</v>
      </c>
      <c r="P728" s="286">
        <v>5.5</v>
      </c>
    </row>
    <row r="729" spans="1:17" ht="12.5">
      <c r="A729" s="60" t="s">
        <v>1223</v>
      </c>
      <c r="B729" s="287" t="str">
        <f>HYPERLINK("http://codeforces.com/contest/352/problem/D","CF352-D2-D")</f>
        <v>CF352-D2-D</v>
      </c>
      <c r="C729" s="67"/>
      <c r="D729" s="67"/>
      <c r="E729" s="67"/>
      <c r="F729" s="67"/>
      <c r="G729" s="67"/>
      <c r="H729" s="67"/>
      <c r="I729" s="36">
        <f t="shared" si="2"/>
        <v>0</v>
      </c>
      <c r="J729" s="36"/>
      <c r="K729" s="36"/>
      <c r="L729" s="67"/>
      <c r="M729" s="301" t="str">
        <f>HYPERLINK("https://github.com/BRAINOOOO/CompetitiveProgramming/blob/0577cb43f4a000eca9870ccc375c95381224aed1/CF/CF352-D2-D","Sol")</f>
        <v>Sol</v>
      </c>
      <c r="N729" s="286" t="s">
        <v>1656</v>
      </c>
      <c r="O729" s="286">
        <v>87</v>
      </c>
      <c r="P729" s="286">
        <v>6</v>
      </c>
      <c r="Q729" s="12" t="s">
        <v>1245</v>
      </c>
    </row>
    <row r="730" spans="1:17" ht="12.5">
      <c r="A730" s="60" t="s">
        <v>754</v>
      </c>
      <c r="B730" s="287" t="str">
        <f>HYPERLINK("http://codeforces.com/contest/84/problem/B","CF84-D2-B")</f>
        <v>CF84-D2-B</v>
      </c>
      <c r="C730" s="67"/>
      <c r="D730" s="67"/>
      <c r="E730" s="67"/>
      <c r="F730" s="67"/>
      <c r="G730" s="67"/>
      <c r="H730" s="67"/>
      <c r="I730" s="36">
        <f t="shared" si="2"/>
        <v>0</v>
      </c>
      <c r="J730" s="36"/>
      <c r="K730" s="36"/>
      <c r="L730" s="67"/>
      <c r="M730" s="28"/>
      <c r="N730" s="286" t="s">
        <v>1657</v>
      </c>
      <c r="O730" s="286">
        <v>89</v>
      </c>
      <c r="P730" s="191">
        <v>2.5</v>
      </c>
    </row>
    <row r="731" spans="1:17" ht="12.5">
      <c r="A731" s="60" t="s">
        <v>453</v>
      </c>
      <c r="B731" s="287" t="str">
        <f>HYPERLINK("http://codeforces.com/contest/617/problem/B","CF617-D2-B")</f>
        <v>CF617-D2-B</v>
      </c>
      <c r="C731" s="67"/>
      <c r="D731" s="67"/>
      <c r="E731" s="67"/>
      <c r="F731" s="67"/>
      <c r="G731" s="67"/>
      <c r="H731" s="67"/>
      <c r="I731" s="36">
        <f t="shared" si="2"/>
        <v>0</v>
      </c>
      <c r="J731" s="36"/>
      <c r="K731" s="36"/>
      <c r="L731" s="67"/>
      <c r="M731" s="290" t="str">
        <f>HYPERLINK("https://www.youtube.com/watch?v=APkfGgJJVCc","Video Solution - Eng Yahia Ashraf")</f>
        <v>Video Solution - Eng Yahia Ashraf</v>
      </c>
      <c r="N731" s="286" t="s">
        <v>1657</v>
      </c>
      <c r="O731" s="286">
        <v>89</v>
      </c>
      <c r="P731" s="191">
        <v>2.5</v>
      </c>
    </row>
    <row r="732" spans="1:17" ht="12.5">
      <c r="A732" s="60" t="s">
        <v>420</v>
      </c>
      <c r="B732" s="287" t="str">
        <f>HYPERLINK("http://codeforces.com/contest/79/problem/B","CF79-D12-B")</f>
        <v>CF79-D12-B</v>
      </c>
      <c r="C732" s="67"/>
      <c r="D732" s="67"/>
      <c r="E732" s="67"/>
      <c r="F732" s="67"/>
      <c r="G732" s="67"/>
      <c r="H732" s="67"/>
      <c r="I732" s="36">
        <f t="shared" si="2"/>
        <v>0</v>
      </c>
      <c r="J732" s="36"/>
      <c r="K732" s="36"/>
      <c r="L732" s="67"/>
      <c r="M732" s="290" t="str">
        <f>HYPERLINK("https://www.youtube.com/watch?v=QIANdSy3nQg","Video Solution - Solver to be (Java)")</f>
        <v>Video Solution - Solver to be (Java)</v>
      </c>
      <c r="N732" s="191" t="s">
        <v>1658</v>
      </c>
      <c r="O732" s="191">
        <v>89</v>
      </c>
      <c r="P732" s="286">
        <v>2.5</v>
      </c>
      <c r="Q732" s="12" t="s">
        <v>1245</v>
      </c>
    </row>
    <row r="733" spans="1:17" ht="12.5">
      <c r="A733" s="60" t="s">
        <v>596</v>
      </c>
      <c r="B733" s="287" t="str">
        <f>HYPERLINK("http://codeforces.com/contest/131/problem/C","CF131-D2-C")</f>
        <v>CF131-D2-C</v>
      </c>
      <c r="C733" s="67"/>
      <c r="D733" s="67"/>
      <c r="E733" s="67"/>
      <c r="F733" s="67"/>
      <c r="G733" s="67"/>
      <c r="H733" s="67"/>
      <c r="I733" s="36">
        <f t="shared" si="2"/>
        <v>0</v>
      </c>
      <c r="J733" s="67"/>
      <c r="K733" s="67"/>
      <c r="L733" s="67"/>
      <c r="M733" s="120" t="str">
        <f>HYPERLINK("https://www.youtube.com/watch?v=96OYl0On3hc","Video Solution - Eng Youssef Ali")</f>
        <v>Video Solution - Eng Youssef Ali</v>
      </c>
      <c r="N733" s="286" t="s">
        <v>1657</v>
      </c>
      <c r="O733" s="286">
        <v>89</v>
      </c>
      <c r="P733" s="286">
        <v>4</v>
      </c>
    </row>
    <row r="734" spans="1:17" ht="12.5">
      <c r="A734" s="60" t="s">
        <v>1048</v>
      </c>
      <c r="B734" s="287" t="str">
        <f>HYPERLINK("http://codeforces.com/contest/152/problem/C","CF152-D2-C")</f>
        <v>CF152-D2-C</v>
      </c>
      <c r="C734" s="67"/>
      <c r="D734" s="67"/>
      <c r="E734" s="67"/>
      <c r="F734" s="67"/>
      <c r="G734" s="67"/>
      <c r="H734" s="67"/>
      <c r="I734" s="36">
        <f t="shared" si="2"/>
        <v>0</v>
      </c>
      <c r="J734" s="67"/>
      <c r="K734" s="67"/>
      <c r="L734" s="67"/>
      <c r="M734" s="28"/>
      <c r="N734" s="286" t="s">
        <v>1657</v>
      </c>
      <c r="O734" s="286">
        <v>89</v>
      </c>
      <c r="P734" s="286">
        <v>4</v>
      </c>
    </row>
    <row r="735" spans="1:17" ht="12.5">
      <c r="A735" s="60" t="s">
        <v>220</v>
      </c>
      <c r="B735" s="287" t="str">
        <f>HYPERLINK("https://uva.onlinejudge.org/index.php?option=onlinejudge&amp;page=show_problem&amp;problem=2172","UVA 11231")</f>
        <v>UVA 11231</v>
      </c>
      <c r="C735" s="67"/>
      <c r="D735" s="67"/>
      <c r="E735" s="67"/>
      <c r="F735" s="67"/>
      <c r="G735" s="67"/>
      <c r="H735" s="67"/>
      <c r="I735" s="36">
        <f t="shared" si="2"/>
        <v>0</v>
      </c>
      <c r="J735" s="67"/>
      <c r="K735" s="36"/>
      <c r="L735" s="67"/>
      <c r="M735" s="297" t="str">
        <f>HYPERLINK("https://www.youtube.com/watch?v=UNUD8qp33ic&amp;feature=youtu.be","Video Solution - Eng Amr Saud")</f>
        <v>Video Solution - Eng Amr Saud</v>
      </c>
      <c r="N735" s="286" t="s">
        <v>1659</v>
      </c>
      <c r="O735" s="286">
        <v>89</v>
      </c>
      <c r="P735" s="286">
        <v>4</v>
      </c>
    </row>
    <row r="736" spans="1:17" ht="12.5">
      <c r="A736" s="60"/>
      <c r="B736" s="287" t="str">
        <f>HYPERLINK("http://codeforces.com/contest/758/problem/C","CF758-D2-C")</f>
        <v>CF758-D2-C</v>
      </c>
      <c r="C736" s="67"/>
      <c r="D736" s="67"/>
      <c r="E736" s="67"/>
      <c r="F736" s="67"/>
      <c r="G736" s="67"/>
      <c r="H736" s="67"/>
      <c r="I736" s="36">
        <f t="shared" si="2"/>
        <v>0</v>
      </c>
      <c r="J736" s="36"/>
      <c r="K736" s="36"/>
      <c r="L736" s="67"/>
      <c r="M736" s="60"/>
      <c r="N736" s="286" t="s">
        <v>1657</v>
      </c>
      <c r="O736" s="286">
        <v>89</v>
      </c>
      <c r="P736" s="286">
        <v>5</v>
      </c>
      <c r="Q736" s="12" t="s">
        <v>1245</v>
      </c>
    </row>
    <row r="737" spans="1:17" ht="12.5">
      <c r="A737" s="60"/>
      <c r="B737" s="287" t="str">
        <f>HYPERLINK("http://codeforces.com/contest/459/problem/C","CF459-D2-C")</f>
        <v>CF459-D2-C</v>
      </c>
      <c r="C737" s="67"/>
      <c r="D737" s="67"/>
      <c r="E737" s="67"/>
      <c r="F737" s="67"/>
      <c r="G737" s="67"/>
      <c r="H737" s="67"/>
      <c r="I737" s="36">
        <f t="shared" si="2"/>
        <v>0</v>
      </c>
      <c r="J737" s="67"/>
      <c r="K737" s="67"/>
      <c r="L737" s="67"/>
      <c r="M737" s="28"/>
      <c r="N737" s="286" t="s">
        <v>1660</v>
      </c>
      <c r="O737" s="286">
        <v>89</v>
      </c>
      <c r="P737" s="286">
        <v>5</v>
      </c>
      <c r="Q737" s="12" t="s">
        <v>1245</v>
      </c>
    </row>
    <row r="738" spans="1:17" ht="12.5">
      <c r="A738" s="60"/>
      <c r="B738" s="287" t="str">
        <f>HYPERLINK("https://www.hackerrank.com/challenges/ajourney","HACKR ajourney")</f>
        <v>HACKR ajourney</v>
      </c>
      <c r="C738" s="67"/>
      <c r="D738" s="67"/>
      <c r="E738" s="67"/>
      <c r="F738" s="67"/>
      <c r="G738" s="67"/>
      <c r="H738" s="67"/>
      <c r="I738" s="36">
        <f t="shared" si="2"/>
        <v>0</v>
      </c>
      <c r="J738" s="67"/>
      <c r="K738" s="67"/>
      <c r="L738" s="302"/>
      <c r="M738" s="286"/>
      <c r="N738" s="286" t="s">
        <v>1661</v>
      </c>
      <c r="O738" s="286">
        <v>89</v>
      </c>
      <c r="P738" s="286">
        <v>5</v>
      </c>
      <c r="Q738" s="12" t="s">
        <v>1245</v>
      </c>
    </row>
    <row r="739" spans="1:17" ht="12.5">
      <c r="A739" s="60" t="s">
        <v>827</v>
      </c>
      <c r="B739" s="287" t="str">
        <f>HYPERLINK("http://codeforces.com/contest/294/problem/C","CF294-D2-C")</f>
        <v>CF294-D2-C</v>
      </c>
      <c r="C739" s="67"/>
      <c r="D739" s="67"/>
      <c r="E739" s="67"/>
      <c r="F739" s="67"/>
      <c r="G739" s="67"/>
      <c r="H739" s="67"/>
      <c r="I739" s="36">
        <f t="shared" si="2"/>
        <v>0</v>
      </c>
      <c r="J739" s="67"/>
      <c r="K739" s="67"/>
      <c r="L739" s="67"/>
      <c r="M739" s="184" t="str">
        <f>HYPERLINK("https://www.youtube.com/watch?v=xB6St1GAKUg","Video Solution - Dr Mostafa Saad")</f>
        <v>Video Solution - Dr Mostafa Saad</v>
      </c>
      <c r="N739" s="286" t="s">
        <v>1657</v>
      </c>
      <c r="O739" s="286">
        <v>89</v>
      </c>
      <c r="P739" s="286">
        <v>5.5</v>
      </c>
      <c r="Q739" s="12" t="s">
        <v>1270</v>
      </c>
    </row>
    <row r="740" spans="1:17" ht="12.5">
      <c r="A740" s="60"/>
      <c r="B740" s="287" t="str">
        <f>HYPERLINK("http://codeforces.com/problemset/problem/869/C","CF869-D2-C")</f>
        <v>CF869-D2-C</v>
      </c>
      <c r="C740" s="67"/>
      <c r="D740" s="67"/>
      <c r="E740" s="67"/>
      <c r="F740" s="67"/>
      <c r="G740" s="67"/>
      <c r="H740" s="67"/>
      <c r="I740" s="36">
        <f t="shared" si="2"/>
        <v>0</v>
      </c>
      <c r="J740" s="67"/>
      <c r="K740" s="67"/>
      <c r="L740" s="67"/>
      <c r="M740" s="116"/>
      <c r="N740" s="286" t="s">
        <v>1662</v>
      </c>
      <c r="O740" s="286">
        <v>89</v>
      </c>
      <c r="P740" s="286">
        <v>5.5</v>
      </c>
      <c r="Q740" s="12" t="s">
        <v>1245</v>
      </c>
    </row>
    <row r="741" spans="1:17" ht="12.5">
      <c r="A741" s="60" t="s">
        <v>887</v>
      </c>
      <c r="B741" s="287" t="str">
        <f>HYPERLINK("http://codeforces.com/contest/340/problem/C","CF340-D2-C")</f>
        <v>CF340-D2-C</v>
      </c>
      <c r="C741" s="67"/>
      <c r="D741" s="67"/>
      <c r="E741" s="67"/>
      <c r="F741" s="67"/>
      <c r="G741" s="67"/>
      <c r="H741" s="67"/>
      <c r="I741" s="36">
        <f t="shared" si="2"/>
        <v>0</v>
      </c>
      <c r="J741" s="67"/>
      <c r="K741" s="67"/>
      <c r="L741" s="67"/>
      <c r="M741" s="60"/>
      <c r="N741" s="286" t="s">
        <v>1663</v>
      </c>
      <c r="O741" s="286">
        <v>89</v>
      </c>
      <c r="P741" s="286">
        <v>5.5</v>
      </c>
      <c r="Q741" s="12" t="s">
        <v>1239</v>
      </c>
    </row>
    <row r="742" spans="1:17" ht="12.5">
      <c r="A742" s="60" t="s">
        <v>584</v>
      </c>
      <c r="B742" s="287" t="str">
        <f>HYPERLINK("http://codeforces.com/contest/371/problem/B","CF371-D2-B")</f>
        <v>CF371-D2-B</v>
      </c>
      <c r="C742" s="67"/>
      <c r="D742" s="67"/>
      <c r="E742" s="67"/>
      <c r="F742" s="67"/>
      <c r="G742" s="67"/>
      <c r="H742" s="67"/>
      <c r="I742" s="36">
        <f t="shared" si="2"/>
        <v>0</v>
      </c>
      <c r="J742" s="67"/>
      <c r="K742" s="67"/>
      <c r="L742" s="67"/>
      <c r="M742" s="290" t="str">
        <f>HYPERLINK("https://www.youtube.com/watch?v=s9jsw8Uj4uI&amp;feature=youtu.be","Video Solution - Eng Abanob Ashraf")</f>
        <v>Video Solution - Eng Abanob Ashraf</v>
      </c>
      <c r="N742" s="286" t="s">
        <v>1664</v>
      </c>
      <c r="O742" s="286">
        <v>94</v>
      </c>
      <c r="P742" s="191">
        <v>2.5</v>
      </c>
    </row>
    <row r="743" spans="1:17" ht="12.5">
      <c r="A743" s="60" t="s">
        <v>983</v>
      </c>
      <c r="B743" s="287" t="str">
        <f>HYPERLINK("https://uva.onlinejudge.org/index.php?option=com_onlinejudge&amp;Itemid=8&amp;page=show_problem&amp;problem=89","UVA 153")</f>
        <v>UVA 153</v>
      </c>
      <c r="C743" s="67"/>
      <c r="D743" s="67"/>
      <c r="E743" s="67"/>
      <c r="F743" s="67"/>
      <c r="G743" s="67"/>
      <c r="H743" s="67"/>
      <c r="I743" s="36">
        <f t="shared" si="2"/>
        <v>0</v>
      </c>
      <c r="J743" s="67"/>
      <c r="K743" s="67"/>
      <c r="L743" s="67"/>
      <c r="M743" s="216" t="str">
        <f>HYPERLINK("https://github.com/ahmedcpbl/CompetitiveProgramming/blob/master/UVA/153.cpp","Sol")</f>
        <v>Sol</v>
      </c>
      <c r="N743" s="286" t="s">
        <v>1665</v>
      </c>
      <c r="O743" s="286">
        <v>94</v>
      </c>
      <c r="P743" s="286">
        <v>4.5</v>
      </c>
      <c r="Q743" s="12" t="s">
        <v>1245</v>
      </c>
    </row>
    <row r="744" spans="1:17" ht="12.5">
      <c r="A744" s="60" t="s">
        <v>659</v>
      </c>
      <c r="B744" s="287" t="str">
        <f>HYPERLINK("https://uva.onlinejudge.org/index.php?option=com_onlinejudge&amp;Itemid=8&amp;page=show_problem&amp;problem=524","UVA 583")</f>
        <v>UVA 583</v>
      </c>
      <c r="C744" s="67"/>
      <c r="D744" s="67"/>
      <c r="E744" s="67"/>
      <c r="F744" s="67"/>
      <c r="G744" s="67"/>
      <c r="H744" s="67"/>
      <c r="I744" s="36">
        <f t="shared" si="2"/>
        <v>0</v>
      </c>
      <c r="J744" s="36"/>
      <c r="K744" s="36"/>
      <c r="L744" s="67"/>
      <c r="M744" s="286"/>
      <c r="N744" s="286" t="s">
        <v>1666</v>
      </c>
      <c r="O744" s="286">
        <v>95</v>
      </c>
      <c r="P744" s="286">
        <v>2</v>
      </c>
    </row>
    <row r="745" spans="1:17" ht="12.5">
      <c r="A745" s="60" t="s">
        <v>454</v>
      </c>
      <c r="B745" s="287" t="str">
        <f>HYPERLINK("http://codeforces.com/contest/236/problem/B","CF236-D2-B")</f>
        <v>CF236-D2-B</v>
      </c>
      <c r="C745" s="67"/>
      <c r="D745" s="67"/>
      <c r="E745" s="67"/>
      <c r="F745" s="67"/>
      <c r="G745" s="67"/>
      <c r="H745" s="67"/>
      <c r="I745" s="36">
        <f t="shared" si="2"/>
        <v>0</v>
      </c>
      <c r="J745" s="36"/>
      <c r="K745" s="36"/>
      <c r="L745" s="67"/>
      <c r="M745" s="290" t="str">
        <f>HYPERLINK("https://www.youtube.com/watch?v=Tv2JpMqQWYg","Video Solution - Eng Yahia Ashraf")</f>
        <v>Video Solution - Eng Yahia Ashraf</v>
      </c>
      <c r="N745" s="286" t="s">
        <v>1666</v>
      </c>
      <c r="O745" s="286">
        <v>95</v>
      </c>
      <c r="P745" s="286">
        <v>3</v>
      </c>
    </row>
    <row r="746" spans="1:17" ht="12.5">
      <c r="A746" s="60" t="s">
        <v>660</v>
      </c>
      <c r="B746" s="287" t="str">
        <f>HYPERLINK("https://uva.onlinejudge.org/index.php?option=com_onlinejudge&amp;Itemid=8&amp;page=show_problem&amp;problem=1431","UVA 10490")</f>
        <v>UVA 10490</v>
      </c>
      <c r="C746" s="67"/>
      <c r="D746" s="67"/>
      <c r="E746" s="67"/>
      <c r="F746" s="67"/>
      <c r="G746" s="67"/>
      <c r="H746" s="67"/>
      <c r="I746" s="36">
        <f t="shared" si="2"/>
        <v>0</v>
      </c>
      <c r="J746" s="36"/>
      <c r="K746" s="36"/>
      <c r="L746" s="67"/>
      <c r="M746" s="289" t="str">
        <f>HYPERLINK("https://github.com/MohamedNabil97/CompetitiveProgramming/blob/master/UVA/10490.cpp","Sol to read")</f>
        <v>Sol to read</v>
      </c>
      <c r="N746" s="286" t="s">
        <v>1666</v>
      </c>
      <c r="O746" s="286">
        <v>95</v>
      </c>
      <c r="P746" s="286">
        <v>3</v>
      </c>
    </row>
    <row r="747" spans="1:17" ht="12.5">
      <c r="A747" s="60" t="s">
        <v>662</v>
      </c>
      <c r="B747" s="287" t="str">
        <f>HYPERLINK("https://uva.onlinejudge.org/index.php?option=com_onlinejudge&amp;Itemid=8&amp;page=show_problem&amp;problem=457","UVA 516")</f>
        <v>UVA 516</v>
      </c>
      <c r="C747" s="67"/>
      <c r="D747" s="67"/>
      <c r="E747" s="67"/>
      <c r="F747" s="67"/>
      <c r="G747" s="67"/>
      <c r="H747" s="67"/>
      <c r="I747" s="36">
        <f t="shared" si="2"/>
        <v>0</v>
      </c>
      <c r="J747" s="36"/>
      <c r="K747" s="36"/>
      <c r="L747" s="67"/>
      <c r="M747" s="286"/>
      <c r="N747" s="286" t="s">
        <v>1666</v>
      </c>
      <c r="O747" s="286">
        <v>95</v>
      </c>
      <c r="P747" s="286">
        <v>3</v>
      </c>
    </row>
    <row r="748" spans="1:17" ht="12.5">
      <c r="A748" s="60" t="s">
        <v>661</v>
      </c>
      <c r="B748" s="287" t="str">
        <f>HYPERLINK("https://uva.onlinejudge.org/index.php?option=onlinejudge&amp;page=show_problem&amp;problem=1563","UVA 10622")</f>
        <v>UVA 10622</v>
      </c>
      <c r="C748" s="67"/>
      <c r="D748" s="67"/>
      <c r="E748" s="67"/>
      <c r="F748" s="67"/>
      <c r="G748" s="67"/>
      <c r="H748" s="67"/>
      <c r="I748" s="36">
        <f t="shared" si="2"/>
        <v>0</v>
      </c>
      <c r="J748" s="36"/>
      <c r="K748" s="36"/>
      <c r="L748" s="67"/>
      <c r="M748" s="116" t="str">
        <f>HYPERLINK("https://www.youtube.com/watch?v=sRZgiQc5x7U","Video Solution - Eng Moaz Rashad")</f>
        <v>Video Solution - Eng Moaz Rashad</v>
      </c>
      <c r="N748" s="286" t="s">
        <v>1666</v>
      </c>
      <c r="O748" s="286">
        <v>95</v>
      </c>
      <c r="P748" s="286">
        <v>4</v>
      </c>
      <c r="Q748" s="12" t="s">
        <v>1239</v>
      </c>
    </row>
    <row r="749" spans="1:17" ht="12.5">
      <c r="A749" s="60" t="s">
        <v>678</v>
      </c>
      <c r="B749" s="287" t="str">
        <f>HYPERLINK("https://uva.onlinejudge.org/index.php?option=onlinejudge&amp;Itemid=8&amp;page=show_problem&amp;problem=1080","UVA 10139")</f>
        <v>UVA 10139</v>
      </c>
      <c r="C749" s="67"/>
      <c r="D749" s="67"/>
      <c r="E749" s="67"/>
      <c r="F749" s="67"/>
      <c r="G749" s="67"/>
      <c r="H749" s="67"/>
      <c r="I749" s="36">
        <f t="shared" si="2"/>
        <v>0</v>
      </c>
      <c r="J749" s="36"/>
      <c r="K749" s="36"/>
      <c r="L749" s="67"/>
      <c r="M749" s="289" t="str">
        <f>HYPERLINK("https://github.com/MohamedNabil97/CompetitiveProgramming/blob/master/UVA/10139.cpp","Sol to read")</f>
        <v>Sol to read</v>
      </c>
      <c r="N749" s="286" t="s">
        <v>1667</v>
      </c>
      <c r="O749" s="286">
        <v>95</v>
      </c>
      <c r="P749" s="286">
        <v>4</v>
      </c>
    </row>
    <row r="750" spans="1:17" ht="12.5">
      <c r="A750" s="60"/>
      <c r="B750" s="287" t="str">
        <f>HYPERLINK("http://codeforces.com/contest/1047/problem/C","CF1047-D2-C")</f>
        <v>CF1047-D2-C</v>
      </c>
      <c r="C750" s="67"/>
      <c r="D750" s="67"/>
      <c r="E750" s="67"/>
      <c r="F750" s="67"/>
      <c r="G750" s="67"/>
      <c r="H750" s="67"/>
      <c r="I750" s="36">
        <f t="shared" si="2"/>
        <v>0</v>
      </c>
      <c r="J750" s="36"/>
      <c r="K750" s="36"/>
      <c r="L750" s="67"/>
      <c r="M750" s="60"/>
      <c r="N750" s="286" t="s">
        <v>1666</v>
      </c>
      <c r="O750" s="286">
        <v>95</v>
      </c>
      <c r="P750" s="286">
        <v>4.5</v>
      </c>
      <c r="Q750" s="12" t="s">
        <v>1245</v>
      </c>
    </row>
    <row r="751" spans="1:17" ht="12.5">
      <c r="A751" s="60" t="s">
        <v>1130</v>
      </c>
      <c r="B751" s="287" t="str">
        <f>HYPERLINK("https://uva.onlinejudge.org/index.php?option=onlinejudge&amp;page=show_problem&amp;problem=488","UVA 547")</f>
        <v>UVA 547</v>
      </c>
      <c r="C751" s="67"/>
      <c r="D751" s="67"/>
      <c r="E751" s="67"/>
      <c r="F751" s="67"/>
      <c r="G751" s="67"/>
      <c r="H751" s="67"/>
      <c r="I751" s="36">
        <f t="shared" si="2"/>
        <v>0</v>
      </c>
      <c r="J751" s="36"/>
      <c r="K751" s="36"/>
      <c r="L751" s="302"/>
      <c r="M751" s="191"/>
      <c r="N751" s="286" t="s">
        <v>1668</v>
      </c>
      <c r="O751" s="286">
        <v>95</v>
      </c>
      <c r="P751" s="286">
        <v>4.5</v>
      </c>
    </row>
    <row r="752" spans="1:17" ht="12.5">
      <c r="A752" s="60"/>
      <c r="B752" s="60" t="s">
        <v>998</v>
      </c>
      <c r="C752" s="67"/>
      <c r="D752" s="67"/>
      <c r="E752" s="67"/>
      <c r="F752" s="67"/>
      <c r="G752" s="67"/>
      <c r="H752" s="67"/>
      <c r="I752" s="36">
        <f t="shared" si="2"/>
        <v>0</v>
      </c>
      <c r="J752" s="67"/>
      <c r="K752" s="67"/>
      <c r="L752" s="67"/>
      <c r="M752" s="286"/>
      <c r="N752" s="286" t="s">
        <v>1669</v>
      </c>
      <c r="O752" s="286">
        <v>95</v>
      </c>
      <c r="P752" s="286">
        <v>5</v>
      </c>
    </row>
    <row r="753" spans="1:17" ht="12.5">
      <c r="A753" s="60" t="s">
        <v>1154</v>
      </c>
      <c r="B753" s="287" t="str">
        <f>HYPERLINK("https://uva.onlinejudge.org/index.php?option=onlinejudge&amp;page=show_problem&amp;problem=2322","UVA 11347")</f>
        <v>UVA 11347</v>
      </c>
      <c r="C753" s="67"/>
      <c r="D753" s="67"/>
      <c r="E753" s="67"/>
      <c r="F753" s="67"/>
      <c r="G753" s="67"/>
      <c r="H753" s="67"/>
      <c r="I753" s="36">
        <f t="shared" si="2"/>
        <v>0</v>
      </c>
      <c r="J753" s="36"/>
      <c r="K753" s="36"/>
      <c r="L753" s="302"/>
      <c r="M753" s="191"/>
      <c r="N753" s="286" t="s">
        <v>1670</v>
      </c>
      <c r="O753" s="286">
        <v>95</v>
      </c>
      <c r="P753" s="286">
        <v>5</v>
      </c>
    </row>
    <row r="754" spans="1:17" ht="12.5">
      <c r="A754" s="60"/>
      <c r="B754" s="287" t="str">
        <f>HYPERLINK("http://codeforces.com/problemset/problem/1033/D", "CF1033-D12-D")</f>
        <v>CF1033-D12-D</v>
      </c>
      <c r="C754" s="67"/>
      <c r="D754" s="67"/>
      <c r="E754" s="67"/>
      <c r="F754" s="67"/>
      <c r="G754" s="67"/>
      <c r="H754" s="67"/>
      <c r="I754" s="36">
        <f t="shared" si="2"/>
        <v>0</v>
      </c>
      <c r="J754" s="67"/>
      <c r="K754" s="67"/>
      <c r="L754" s="67"/>
      <c r="M754" s="28"/>
      <c r="N754" s="286" t="s">
        <v>1666</v>
      </c>
      <c r="O754" s="286">
        <v>95</v>
      </c>
      <c r="P754" s="286">
        <v>5.5</v>
      </c>
      <c r="Q754" s="12" t="s">
        <v>1245</v>
      </c>
    </row>
    <row r="755" spans="1:17" ht="12.5">
      <c r="A755" s="60" t="s">
        <v>1226</v>
      </c>
      <c r="B755" s="287" t="str">
        <f>HYPERLINK("http://codeforces.com/contest/688/problem/D","CF688-D2-D")</f>
        <v>CF688-D2-D</v>
      </c>
      <c r="C755" s="67"/>
      <c r="D755" s="67"/>
      <c r="E755" s="67"/>
      <c r="F755" s="67"/>
      <c r="G755" s="67"/>
      <c r="H755" s="67"/>
      <c r="I755" s="36">
        <f t="shared" si="2"/>
        <v>0</v>
      </c>
      <c r="J755" s="67"/>
      <c r="K755" s="67"/>
      <c r="L755" s="67"/>
      <c r="M755" s="28"/>
      <c r="N755" s="286" t="s">
        <v>1671</v>
      </c>
      <c r="O755" s="286">
        <v>95</v>
      </c>
      <c r="P755" s="286">
        <v>6</v>
      </c>
      <c r="Q755" s="12" t="s">
        <v>1270</v>
      </c>
    </row>
    <row r="756" spans="1:17" ht="12.5">
      <c r="A756" s="60" t="s">
        <v>1158</v>
      </c>
      <c r="B756" s="287" t="str">
        <f>HYPERLINK("http://www.spoj.com/problems/PROOT/","SPOJ PROOT")</f>
        <v>SPOJ PROOT</v>
      </c>
      <c r="C756" s="67"/>
      <c r="D756" s="67"/>
      <c r="E756" s="67"/>
      <c r="F756" s="67"/>
      <c r="G756" s="67"/>
      <c r="H756" s="67"/>
      <c r="I756" s="36">
        <f t="shared" si="2"/>
        <v>0</v>
      </c>
      <c r="J756" s="36"/>
      <c r="K756" s="36"/>
      <c r="L756" s="302"/>
      <c r="M756" s="216" t="str">
        <f>HYPERLINK("http://zobayer.blogspot.com/2010/02/primitive-root.html","Sol")</f>
        <v>Sol</v>
      </c>
      <c r="N756" s="286" t="s">
        <v>1672</v>
      </c>
      <c r="O756" s="286">
        <v>95</v>
      </c>
      <c r="P756" s="286">
        <v>6.25</v>
      </c>
      <c r="Q756" s="12" t="s">
        <v>1270</v>
      </c>
    </row>
    <row r="757" spans="1:17" ht="12.5">
      <c r="A757" s="60"/>
      <c r="B757" s="60" t="s">
        <v>891</v>
      </c>
      <c r="C757" s="67"/>
      <c r="D757" s="67"/>
      <c r="E757" s="67"/>
      <c r="F757" s="67"/>
      <c r="G757" s="67"/>
      <c r="H757" s="67"/>
      <c r="I757" s="36">
        <f t="shared" si="2"/>
        <v>0</v>
      </c>
      <c r="J757" s="36"/>
      <c r="K757" s="36"/>
      <c r="L757" s="67"/>
      <c r="M757" s="301" t="str">
        <f>HYPERLINK("https://pastebin.com/WHzEMUew","Sol")</f>
        <v>Sol</v>
      </c>
      <c r="N757" s="286" t="s">
        <v>1673</v>
      </c>
      <c r="O757" s="286">
        <v>98</v>
      </c>
      <c r="P757" s="286">
        <v>5</v>
      </c>
      <c r="Q757" s="12" t="s">
        <v>1243</v>
      </c>
    </row>
    <row r="758" spans="1:17" ht="12.5">
      <c r="A758" s="60" t="s">
        <v>406</v>
      </c>
      <c r="B758" s="287" t="str">
        <f>HYPERLINK("https://uva.onlinejudge.org/index.php?option=onlinejudge&amp;page=show_problem&amp;problem=305","UVA 369")</f>
        <v>UVA 369</v>
      </c>
      <c r="C758" s="67"/>
      <c r="D758" s="67"/>
      <c r="E758" s="67"/>
      <c r="F758" s="67"/>
      <c r="G758" s="67"/>
      <c r="H758" s="67"/>
      <c r="I758" s="36">
        <f t="shared" si="2"/>
        <v>0</v>
      </c>
      <c r="J758" s="36"/>
      <c r="K758" s="36"/>
      <c r="L758" s="67"/>
      <c r="M758" s="60"/>
      <c r="N758" s="286" t="s">
        <v>1674</v>
      </c>
      <c r="O758" s="286">
        <v>99</v>
      </c>
      <c r="P758" s="286">
        <v>2</v>
      </c>
    </row>
    <row r="759" spans="1:17" ht="12.5">
      <c r="A759" s="60" t="s">
        <v>407</v>
      </c>
      <c r="B759" s="287" t="str">
        <f>HYPERLINK("https://uva.onlinejudge.org/index.php?option=onlinejudge&amp;page=show_problem&amp;problem=353","UVA 412")</f>
        <v>UVA 412</v>
      </c>
      <c r="C759" s="67"/>
      <c r="D759" s="67"/>
      <c r="E759" s="67"/>
      <c r="F759" s="67"/>
      <c r="G759" s="67"/>
      <c r="H759" s="67"/>
      <c r="I759" s="36">
        <f t="shared" si="2"/>
        <v>0</v>
      </c>
      <c r="J759" s="36"/>
      <c r="K759" s="36"/>
      <c r="L759" s="67"/>
      <c r="M759" s="116" t="str">
        <f>HYPERLINK("https://www.youtube.com/watch?v=NmumgTB7B9c&amp;feature=youtu.be","Video Solution - Eng Mohamed Adel")</f>
        <v>Video Solution - Eng Mohamed Adel</v>
      </c>
      <c r="N759" s="286" t="s">
        <v>1675</v>
      </c>
      <c r="O759" s="286">
        <v>99</v>
      </c>
      <c r="P759" s="286">
        <v>3</v>
      </c>
    </row>
    <row r="760" spans="1:17" ht="12.5">
      <c r="A760" s="60" t="s">
        <v>597</v>
      </c>
      <c r="B760" s="287" t="str">
        <f>HYPERLINK("http://codeforces.com/contest/88/problem/C","CF88-D2-C")</f>
        <v>CF88-D2-C</v>
      </c>
      <c r="C760" s="67"/>
      <c r="D760" s="67"/>
      <c r="E760" s="67"/>
      <c r="F760" s="67"/>
      <c r="G760" s="67"/>
      <c r="H760" s="67"/>
      <c r="I760" s="36">
        <f t="shared" si="2"/>
        <v>0</v>
      </c>
      <c r="J760" s="67"/>
      <c r="K760" s="67"/>
      <c r="L760" s="67"/>
      <c r="M760" s="296" t="str">
        <f>HYPERLINK("https://www.youtube.com/watch?v=YiM38hyILmc","Video Solution - Solver to be (Java)")</f>
        <v>Video Solution - Solver to be (Java)</v>
      </c>
      <c r="N760" s="286" t="s">
        <v>1676</v>
      </c>
      <c r="O760" s="286">
        <v>99</v>
      </c>
      <c r="P760" s="286">
        <v>4</v>
      </c>
    </row>
    <row r="761" spans="1:17" ht="12.5">
      <c r="A761" s="60" t="s">
        <v>590</v>
      </c>
      <c r="B761" s="287" t="str">
        <f>HYPERLINK("https://uva.onlinejudge.org/index.php?option=onlinejudge&amp;page=show_problem&amp;problem=1658","UVA 10717")</f>
        <v>UVA 10717</v>
      </c>
      <c r="C761" s="67"/>
      <c r="D761" s="67"/>
      <c r="E761" s="67"/>
      <c r="F761" s="67"/>
      <c r="G761" s="67"/>
      <c r="H761" s="67"/>
      <c r="I761" s="36">
        <f t="shared" si="2"/>
        <v>0</v>
      </c>
      <c r="J761" s="36"/>
      <c r="K761" s="36"/>
      <c r="L761" s="67"/>
      <c r="M761" s="301" t="str">
        <f>HYPERLINK("https://github.com/magdy-hasan/competitive-programming/blob/master/uva-/uva%2010717%20-%20Mint.cpp","Sol")</f>
        <v>Sol</v>
      </c>
      <c r="N761" s="286" t="s">
        <v>1677</v>
      </c>
      <c r="O761" s="286">
        <v>99</v>
      </c>
      <c r="P761" s="286">
        <v>4</v>
      </c>
    </row>
    <row r="762" spans="1:17" ht="12.5">
      <c r="A762" s="60" t="s">
        <v>830</v>
      </c>
      <c r="B762" s="287" t="str">
        <f>HYPERLINK("http://codeforces.com/contest/592/problem/C","CF592-D2-C")</f>
        <v>CF592-D2-C</v>
      </c>
      <c r="C762" s="67"/>
      <c r="D762" s="67"/>
      <c r="E762" s="67"/>
      <c r="F762" s="67"/>
      <c r="G762" s="67"/>
      <c r="H762" s="67"/>
      <c r="I762" s="36">
        <f t="shared" si="2"/>
        <v>0</v>
      </c>
      <c r="J762" s="67"/>
      <c r="K762" s="67"/>
      <c r="L762" s="67"/>
      <c r="M762" s="28"/>
      <c r="N762" s="286" t="s">
        <v>1678</v>
      </c>
      <c r="O762" s="286">
        <v>99</v>
      </c>
      <c r="P762" s="286">
        <v>4.5</v>
      </c>
      <c r="Q762" s="12" t="s">
        <v>1245</v>
      </c>
    </row>
    <row r="763" spans="1:17" ht="12.5">
      <c r="A763" s="60" t="s">
        <v>962</v>
      </c>
      <c r="B763" s="287" t="str">
        <f>HYPERLINK("https://uva.onlinejudge.org/index.php?option=onlinejudge&amp;page=show_problem&amp;problem=1833","UVA 10892")</f>
        <v>UVA 10892</v>
      </c>
      <c r="C763" s="67"/>
      <c r="D763" s="67"/>
      <c r="E763" s="67"/>
      <c r="F763" s="67"/>
      <c r="G763" s="67"/>
      <c r="H763" s="67"/>
      <c r="I763" s="36">
        <f t="shared" si="2"/>
        <v>0</v>
      </c>
      <c r="J763" s="67"/>
      <c r="K763" s="67"/>
      <c r="L763" s="67"/>
      <c r="M763" s="28"/>
      <c r="N763" s="286" t="s">
        <v>1677</v>
      </c>
      <c r="O763" s="286">
        <v>99</v>
      </c>
      <c r="P763" s="286">
        <v>4.5</v>
      </c>
    </row>
    <row r="764" spans="1:17" ht="12.5">
      <c r="A764" s="60" t="s">
        <v>635</v>
      </c>
      <c r="B764" s="287" t="str">
        <f>HYPERLINK("http://codeforces.com/contest/344/problem/C","CF344-D2-C")</f>
        <v>CF344-D2-C</v>
      </c>
      <c r="C764" s="67"/>
      <c r="D764" s="67"/>
      <c r="E764" s="67"/>
      <c r="F764" s="67"/>
      <c r="G764" s="67"/>
      <c r="H764" s="67"/>
      <c r="I764" s="36">
        <f t="shared" si="2"/>
        <v>0</v>
      </c>
      <c r="J764" s="67"/>
      <c r="K764" s="67"/>
      <c r="L764" s="67"/>
      <c r="M764" s="286"/>
      <c r="N764" s="286" t="s">
        <v>1675</v>
      </c>
      <c r="O764" s="286">
        <v>99</v>
      </c>
      <c r="P764" s="286">
        <v>5</v>
      </c>
      <c r="Q764" s="12" t="s">
        <v>1245</v>
      </c>
    </row>
    <row r="765" spans="1:17" ht="12.5">
      <c r="A765" s="60" t="s">
        <v>973</v>
      </c>
      <c r="B765" s="287" t="str">
        <f>HYPERLINK("http://codeforces.com/contest/236/problem/C","CF236-D2-C")</f>
        <v>CF236-D2-C</v>
      </c>
      <c r="C765" s="67"/>
      <c r="D765" s="67"/>
      <c r="E765" s="67"/>
      <c r="F765" s="67"/>
      <c r="G765" s="67"/>
      <c r="H765" s="67"/>
      <c r="I765" s="36">
        <f t="shared" si="2"/>
        <v>0</v>
      </c>
      <c r="J765" s="67"/>
      <c r="K765" s="67"/>
      <c r="L765" s="67"/>
      <c r="M765" s="28"/>
      <c r="N765" s="286" t="s">
        <v>1677</v>
      </c>
      <c r="O765" s="286">
        <v>99</v>
      </c>
      <c r="P765" s="286">
        <v>5</v>
      </c>
    </row>
    <row r="766" spans="1:17" ht="12.5">
      <c r="A766" s="60"/>
      <c r="B766" s="287" t="str">
        <f>HYPERLINK("http://codeforces.com/contest/1010/problem/C","CF1010-D1-C")</f>
        <v>CF1010-D1-C</v>
      </c>
      <c r="C766" s="67"/>
      <c r="D766" s="67"/>
      <c r="E766" s="67"/>
      <c r="F766" s="67"/>
      <c r="G766" s="67"/>
      <c r="H766" s="67"/>
      <c r="I766" s="36">
        <f t="shared" si="2"/>
        <v>0</v>
      </c>
      <c r="J766" s="67"/>
      <c r="K766" s="67"/>
      <c r="L766" s="67"/>
      <c r="M766" s="191"/>
      <c r="N766" s="286" t="s">
        <v>1679</v>
      </c>
      <c r="O766" s="286">
        <v>99</v>
      </c>
      <c r="P766" s="286">
        <v>5.5</v>
      </c>
      <c r="Q766" s="12" t="s">
        <v>1239</v>
      </c>
    </row>
    <row r="767" spans="1:17" ht="12.5">
      <c r="A767" s="60"/>
      <c r="B767" s="287" t="str">
        <f>HYPERLINK("https://beta.atcoder.jp/contests/agc026/tasks/agc026_b","AtCoder026-AGC-B")</f>
        <v>AtCoder026-AGC-B</v>
      </c>
      <c r="C767" s="67"/>
      <c r="D767" s="67"/>
      <c r="E767" s="67"/>
      <c r="F767" s="67"/>
      <c r="G767" s="67"/>
      <c r="H767" s="67"/>
      <c r="I767" s="36">
        <f t="shared" si="2"/>
        <v>0</v>
      </c>
      <c r="J767" s="67"/>
      <c r="K767" s="67"/>
      <c r="L767" s="302"/>
      <c r="M767" s="216" t="str">
        <f>HYPERLINK("https://github.com/dasannagariraja/CompetitiveProgramming/blob/master/AtCoder/AtCoder026-AGC-B.cpp","Sol")</f>
        <v>Sol</v>
      </c>
      <c r="N767" s="286" t="s">
        <v>1680</v>
      </c>
      <c r="O767" s="286">
        <v>99</v>
      </c>
      <c r="P767" s="286">
        <v>6</v>
      </c>
      <c r="Q767" s="12" t="s">
        <v>1245</v>
      </c>
    </row>
    <row r="768" spans="1:17" ht="12.5">
      <c r="A768" s="60"/>
      <c r="B768" s="287" t="str">
        <f>HYPERLINK("https://www.spoj.com/problems/EASYMATH/","SPOJ EASYMATH")</f>
        <v>SPOJ EASYMATH</v>
      </c>
      <c r="C768" s="67"/>
      <c r="D768" s="67"/>
      <c r="E768" s="67"/>
      <c r="F768" s="67"/>
      <c r="G768" s="67"/>
      <c r="H768" s="67"/>
      <c r="I768" s="36">
        <f t="shared" si="2"/>
        <v>0</v>
      </c>
      <c r="J768" s="67"/>
      <c r="K768" s="36"/>
      <c r="L768" s="67"/>
      <c r="M768" s="298" t="str">
        <f>HYPERLINK("https://github.com/Emsawy/CompetitiveProgramming/blob/master/SPOJ/EASYMATH.cpp","Sol")</f>
        <v>Sol</v>
      </c>
      <c r="N768" s="286" t="s">
        <v>1681</v>
      </c>
      <c r="O768" s="286">
        <v>101</v>
      </c>
      <c r="P768" s="286">
        <v>3</v>
      </c>
      <c r="Q768" s="12"/>
    </row>
    <row r="769" spans="1:17" ht="12.5">
      <c r="A769" s="60" t="s">
        <v>589</v>
      </c>
      <c r="B769" s="287" t="str">
        <f>HYPERLINK("http://codeforces.com/contest/371/problem/C","CF371-D2-C")</f>
        <v>CF371-D2-C</v>
      </c>
      <c r="C769" s="67"/>
      <c r="D769" s="67"/>
      <c r="E769" s="67"/>
      <c r="F769" s="67"/>
      <c r="G769" s="67"/>
      <c r="H769" s="67"/>
      <c r="I769" s="36">
        <f t="shared" si="2"/>
        <v>0</v>
      </c>
      <c r="J769" s="36"/>
      <c r="K769" s="36"/>
      <c r="L769" s="67"/>
      <c r="M769" s="60"/>
      <c r="N769" s="286" t="s">
        <v>1682</v>
      </c>
      <c r="O769" s="286">
        <v>101</v>
      </c>
      <c r="P769" s="286">
        <v>3</v>
      </c>
    </row>
    <row r="770" spans="1:17" ht="12.5">
      <c r="A770" s="60" t="s">
        <v>588</v>
      </c>
      <c r="B770" s="287" t="str">
        <f>HYPERLINK("https://uva.onlinejudge.org/index.php?option=onlinejudge&amp;page=show_problem&amp;problem=1266","UVA 10325")</f>
        <v>UVA 10325</v>
      </c>
      <c r="C770" s="67"/>
      <c r="D770" s="67"/>
      <c r="E770" s="67"/>
      <c r="F770" s="67"/>
      <c r="G770" s="67"/>
      <c r="H770" s="67"/>
      <c r="I770" s="36">
        <f t="shared" si="2"/>
        <v>0</v>
      </c>
      <c r="J770" s="36"/>
      <c r="K770" s="36"/>
      <c r="L770" s="67"/>
      <c r="M770" s="116" t="str">
        <f>HYPERLINK("https://www.youtube.com/watch?v=OA_J9bFxJpU","Video Solution - Eng Amr Bahaa")</f>
        <v>Video Solution - Eng Amr Bahaa</v>
      </c>
      <c r="N770" s="286" t="s">
        <v>1683</v>
      </c>
      <c r="O770" s="286">
        <v>101</v>
      </c>
      <c r="P770" s="286">
        <v>4</v>
      </c>
    </row>
    <row r="771" spans="1:17" ht="12.5">
      <c r="A771" s="60"/>
      <c r="B771" s="287" t="str">
        <f>HYPERLINK("https://codeforces.com/gym/101933/problem/K","CF101933-GYM-K")</f>
        <v>CF101933-GYM-K</v>
      </c>
      <c r="C771" s="67"/>
      <c r="D771" s="67"/>
      <c r="E771" s="67"/>
      <c r="F771" s="67"/>
      <c r="G771" s="67"/>
      <c r="H771" s="67"/>
      <c r="I771" s="36">
        <f t="shared" si="2"/>
        <v>0</v>
      </c>
      <c r="J771" s="36"/>
      <c r="K771" s="36"/>
      <c r="L771" s="67"/>
      <c r="M771" s="176" t="str">
        <f>HYPERLINK("https://github.com/pranavjangir/CompetitiveProgramming/blob/master/CodeForces/CF101933-GYM-K.cpp","Sol")</f>
        <v>Sol</v>
      </c>
      <c r="N771" s="286" t="s">
        <v>1684</v>
      </c>
      <c r="O771" s="286">
        <v>101</v>
      </c>
      <c r="P771" s="286">
        <v>4</v>
      </c>
    </row>
    <row r="772" spans="1:17" ht="12.5">
      <c r="A772" s="60"/>
      <c r="B772" s="287" t="str">
        <f>HYPERLINK("http://codeforces.com/contest/372/problem/B","CF372-D1-B")</f>
        <v>CF372-D1-B</v>
      </c>
      <c r="C772" s="67"/>
      <c r="D772" s="67"/>
      <c r="E772" s="67"/>
      <c r="F772" s="67"/>
      <c r="G772" s="67"/>
      <c r="H772" s="67"/>
      <c r="I772" s="36">
        <f t="shared" ref="I772:I901" si="3">SUM(E772:H772)</f>
        <v>0</v>
      </c>
      <c r="J772" s="36"/>
      <c r="K772" s="36"/>
      <c r="L772" s="67"/>
      <c r="M772" s="28"/>
      <c r="N772" s="286" t="s">
        <v>1684</v>
      </c>
      <c r="O772" s="286">
        <v>101</v>
      </c>
      <c r="P772" s="286">
        <v>5.75</v>
      </c>
      <c r="Q772" t="s">
        <v>1243</v>
      </c>
    </row>
    <row r="773" spans="1:17" ht="12.5">
      <c r="A773" s="60"/>
      <c r="B773" s="60" t="s">
        <v>1000</v>
      </c>
      <c r="C773" s="67"/>
      <c r="D773" s="67"/>
      <c r="E773" s="67"/>
      <c r="F773" s="67"/>
      <c r="G773" s="67"/>
      <c r="H773" s="67"/>
      <c r="I773" s="36">
        <f t="shared" si="3"/>
        <v>0</v>
      </c>
      <c r="J773" s="36"/>
      <c r="K773" s="36"/>
      <c r="L773" s="67"/>
      <c r="M773" s="313" t="str">
        <f>HYPERLINK("https://github.com/mostafa-saad/MyCompetitiveProgramming/blob/master/SPOJ/SPOJ_MSKYCODE.txt","Sol")</f>
        <v>Sol</v>
      </c>
      <c r="N773" s="286" t="s">
        <v>1684</v>
      </c>
      <c r="O773" s="286">
        <v>101</v>
      </c>
      <c r="P773" s="286">
        <v>6</v>
      </c>
      <c r="Q773" t="s">
        <v>1245</v>
      </c>
    </row>
    <row r="774" spans="1:17" ht="12.5">
      <c r="A774" s="60"/>
      <c r="B774" s="287" t="str">
        <f>HYPERLINK("https://codeforces.com/gym/101992/problem/D","CF101992-GYM-D")</f>
        <v>CF101992-GYM-D</v>
      </c>
      <c r="C774" s="67"/>
      <c r="D774" s="67"/>
      <c r="E774" s="67"/>
      <c r="F774" s="67"/>
      <c r="G774" s="67"/>
      <c r="H774" s="67"/>
      <c r="I774" s="36">
        <f t="shared" si="3"/>
        <v>0</v>
      </c>
      <c r="J774" s="36"/>
      <c r="K774" s="36"/>
      <c r="L774" s="67"/>
      <c r="M774" s="313" t="str">
        <f>HYPERLINK("https://ideone.com/bDMQGD","Sol")</f>
        <v>Sol</v>
      </c>
      <c r="N774" s="286" t="s">
        <v>1684</v>
      </c>
      <c r="O774" s="286">
        <v>101</v>
      </c>
      <c r="P774" s="286">
        <v>6</v>
      </c>
      <c r="Q774" t="s">
        <v>1245</v>
      </c>
    </row>
    <row r="775" spans="1:17" ht="12.5">
      <c r="A775" s="60" t="s">
        <v>980</v>
      </c>
      <c r="B775" s="287" t="str">
        <f>HYPERLINK("https://uva.onlinejudge.org/index.php?option=com_onlinejudge&amp;Itemid=8&amp;page=show_problem&amp;problem=668","UVA 727")</f>
        <v>UVA 727</v>
      </c>
      <c r="C775" s="67"/>
      <c r="D775" s="67"/>
      <c r="E775" s="67"/>
      <c r="F775" s="67"/>
      <c r="G775" s="67"/>
      <c r="H775" s="67"/>
      <c r="I775" s="36">
        <f t="shared" si="3"/>
        <v>0</v>
      </c>
      <c r="J775" s="67"/>
      <c r="K775" s="67"/>
      <c r="L775" s="67"/>
      <c r="M775" s="28"/>
      <c r="N775" s="286" t="s">
        <v>1685</v>
      </c>
      <c r="O775" s="286">
        <v>102</v>
      </c>
      <c r="P775" s="286">
        <v>4</v>
      </c>
    </row>
    <row r="776" spans="1:17" ht="12.5">
      <c r="A776" s="60" t="s">
        <v>478</v>
      </c>
      <c r="B776" s="287" t="str">
        <f>HYPERLINK("http://acm.timus.ru/problem.aspx?space=1&amp;num=1349","TIMUS 1349")</f>
        <v>TIMUS 1349</v>
      </c>
      <c r="C776" s="67"/>
      <c r="D776" s="67"/>
      <c r="E776" s="67"/>
      <c r="F776" s="67"/>
      <c r="G776" s="67"/>
      <c r="H776" s="67"/>
      <c r="I776" s="36">
        <f t="shared" si="3"/>
        <v>0</v>
      </c>
      <c r="J776" s="36"/>
      <c r="K776" s="36"/>
      <c r="L776" s="36"/>
      <c r="M776" s="293" t="str">
        <f>HYPERLINK("http://acm.timus.ru/forum/thread.aspx?id=26903&amp;upd=634491955419403750","Know Fermat’s Last Theorem (Ignore proof)")</f>
        <v>Know Fermat’s Last Theorem (Ignore proof)</v>
      </c>
      <c r="N776" s="286" t="s">
        <v>1686</v>
      </c>
      <c r="O776" s="286">
        <v>104</v>
      </c>
      <c r="P776" s="286">
        <v>2</v>
      </c>
      <c r="Q776" s="12" t="s">
        <v>1243</v>
      </c>
    </row>
    <row r="777" spans="1:17" ht="12.5">
      <c r="A777" s="60" t="s">
        <v>602</v>
      </c>
      <c r="B777" s="287" t="str">
        <f>HYPERLINK("https://uva.onlinejudge.org/index.php?option=onlinejudge&amp;page=show_problem&amp;problem=1243","UVA 10302")</f>
        <v>UVA 10302</v>
      </c>
      <c r="C777" s="67"/>
      <c r="D777" s="67"/>
      <c r="E777" s="67"/>
      <c r="F777" s="67"/>
      <c r="G777" s="67"/>
      <c r="H777" s="67"/>
      <c r="I777" s="36">
        <f t="shared" si="3"/>
        <v>0</v>
      </c>
      <c r="J777" s="36"/>
      <c r="K777" s="36"/>
      <c r="L777" s="67"/>
      <c r="M777" s="286"/>
      <c r="N777" s="286" t="s">
        <v>1687</v>
      </c>
      <c r="O777" s="286">
        <v>104</v>
      </c>
      <c r="P777" s="286">
        <v>2</v>
      </c>
    </row>
    <row r="778" spans="1:17" ht="12.5">
      <c r="A778" s="60"/>
      <c r="B778" s="287" t="str">
        <f>HYPERLINK("https://www.hackerrank.com/contests/infinitum18/challenges/tower-3-coloring","HACKR tower-3-coloring")</f>
        <v>HACKR tower-3-coloring</v>
      </c>
      <c r="C778" s="67"/>
      <c r="D778" s="67"/>
      <c r="E778" s="67"/>
      <c r="F778" s="67"/>
      <c r="G778" s="67"/>
      <c r="H778" s="67"/>
      <c r="I778" s="36">
        <f t="shared" si="3"/>
        <v>0</v>
      </c>
      <c r="J778" s="36"/>
      <c r="K778" s="36"/>
      <c r="L778" s="67"/>
      <c r="M778" s="28" t="s">
        <v>1688</v>
      </c>
      <c r="N778" s="286" t="s">
        <v>1689</v>
      </c>
      <c r="O778" s="286">
        <v>104</v>
      </c>
      <c r="P778" s="286">
        <v>3</v>
      </c>
      <c r="Q778" s="12" t="s">
        <v>1239</v>
      </c>
    </row>
    <row r="779" spans="1:17" ht="12.5">
      <c r="A779" s="60" t="s">
        <v>604</v>
      </c>
      <c r="B779" s="287" t="str">
        <f>HYPERLINK("https://uva.onlinejudge.org/index.php?option=onlinejudge&amp;page=show_problem&amp;problem=1450","UVA 10509")</f>
        <v>UVA 10509</v>
      </c>
      <c r="C779" s="67"/>
      <c r="D779" s="67"/>
      <c r="E779" s="67"/>
      <c r="F779" s="67"/>
      <c r="G779" s="67"/>
      <c r="H779" s="67"/>
      <c r="I779" s="36">
        <f t="shared" si="3"/>
        <v>0</v>
      </c>
      <c r="J779" s="36"/>
      <c r="K779" s="36"/>
      <c r="L779" s="67"/>
      <c r="M779" s="154"/>
      <c r="N779" s="286" t="s">
        <v>1690</v>
      </c>
      <c r="O779" s="286">
        <v>104</v>
      </c>
      <c r="P779" s="286">
        <v>3.5</v>
      </c>
    </row>
    <row r="780" spans="1:17" ht="12.5">
      <c r="A780" s="60" t="s">
        <v>603</v>
      </c>
      <c r="B780" s="287" t="str">
        <f>HYPERLINK("https://uva.onlinejudge.org/index.php?option=com_onlinejudge&amp;Itemid=8&amp;page=show_problem&amp;problem=439","UVA 498")</f>
        <v>UVA 498</v>
      </c>
      <c r="C780" s="67"/>
      <c r="D780" s="67"/>
      <c r="E780" s="67"/>
      <c r="F780" s="67"/>
      <c r="G780" s="67"/>
      <c r="H780" s="67"/>
      <c r="I780" s="36">
        <f t="shared" si="3"/>
        <v>0</v>
      </c>
      <c r="J780" s="36"/>
      <c r="K780" s="36"/>
      <c r="L780" s="67"/>
      <c r="M780" s="60"/>
      <c r="N780" s="286" t="s">
        <v>1687</v>
      </c>
      <c r="O780" s="286">
        <v>104</v>
      </c>
      <c r="P780" s="286">
        <v>3.5</v>
      </c>
    </row>
    <row r="781" spans="1:17" ht="12.5">
      <c r="A781" s="60" t="s">
        <v>623</v>
      </c>
      <c r="B781" s="287" t="str">
        <f>HYPERLINK("http://codeforces.com/contest/450/problem/B","CF450-D2-B")</f>
        <v>CF450-D2-B</v>
      </c>
      <c r="C781" s="67"/>
      <c r="D781" s="67"/>
      <c r="E781" s="67"/>
      <c r="F781" s="67"/>
      <c r="G781" s="67"/>
      <c r="H781" s="67"/>
      <c r="I781" s="36">
        <f t="shared" si="3"/>
        <v>0</v>
      </c>
      <c r="J781" s="36"/>
      <c r="K781" s="36"/>
      <c r="L781" s="67"/>
      <c r="M781" s="286"/>
      <c r="N781" s="286" t="s">
        <v>1691</v>
      </c>
      <c r="O781" s="286">
        <v>105</v>
      </c>
      <c r="P781" s="191">
        <v>2.5</v>
      </c>
    </row>
    <row r="782" spans="1:17" ht="12.5">
      <c r="A782" s="60" t="s">
        <v>906</v>
      </c>
      <c r="B782" s="287" t="str">
        <f>HYPERLINK("https://uva.onlinejudge.org/index.php?option=com_onlinejudge&amp;Itemid=8&amp;page=show_problem&amp;problem=407","UVA 466")</f>
        <v>UVA 466</v>
      </c>
      <c r="C782" s="67"/>
      <c r="D782" s="67"/>
      <c r="E782" s="67"/>
      <c r="F782" s="67"/>
      <c r="G782" s="67"/>
      <c r="H782" s="67"/>
      <c r="I782" s="36">
        <f t="shared" si="3"/>
        <v>0</v>
      </c>
      <c r="J782" s="67"/>
      <c r="K782" s="67"/>
      <c r="L782" s="67"/>
      <c r="M782" s="286"/>
      <c r="N782" s="286" t="s">
        <v>1692</v>
      </c>
      <c r="O782" s="286">
        <v>105</v>
      </c>
      <c r="P782" s="286">
        <v>3</v>
      </c>
      <c r="Q782" s="12" t="s">
        <v>1239</v>
      </c>
    </row>
    <row r="783" spans="1:17" ht="12.5">
      <c r="A783" s="60" t="s">
        <v>765</v>
      </c>
      <c r="B783" s="287" t="str">
        <f>HYPERLINK("http://codeforces.com/contest/202/problem/C","CF202-D2-C")</f>
        <v>CF202-D2-C</v>
      </c>
      <c r="C783" s="67"/>
      <c r="D783" s="67"/>
      <c r="E783" s="67"/>
      <c r="F783" s="67"/>
      <c r="G783" s="67"/>
      <c r="H783" s="67"/>
      <c r="I783" s="36">
        <f t="shared" si="3"/>
        <v>0</v>
      </c>
      <c r="J783" s="36"/>
      <c r="K783" s="36"/>
      <c r="L783" s="67"/>
      <c r="M783" s="28"/>
      <c r="N783" s="286" t="s">
        <v>1693</v>
      </c>
      <c r="O783" s="286">
        <v>105</v>
      </c>
      <c r="P783" s="286">
        <v>4</v>
      </c>
    </row>
    <row r="784" spans="1:17" ht="12.5">
      <c r="A784" s="60" t="s">
        <v>1125</v>
      </c>
      <c r="B784" s="287" t="str">
        <f>HYPERLINK("http://www.spoj.com/problems/DCEPC12E","SPOJ DCEPC12E")</f>
        <v>SPOJ DCEPC12E</v>
      </c>
      <c r="C784" s="67"/>
      <c r="D784" s="67"/>
      <c r="E784" s="67"/>
      <c r="F784" s="67"/>
      <c r="G784" s="67"/>
      <c r="H784" s="67"/>
      <c r="I784" s="36">
        <f t="shared" si="3"/>
        <v>0</v>
      </c>
      <c r="J784" s="36"/>
      <c r="K784" s="36"/>
      <c r="L784" s="302"/>
      <c r="M784" s="28"/>
      <c r="N784" s="286" t="s">
        <v>1694</v>
      </c>
      <c r="O784" s="286">
        <v>105</v>
      </c>
      <c r="P784" s="286">
        <v>4.5</v>
      </c>
    </row>
    <row r="785" spans="1:17" ht="12.5">
      <c r="A785" s="60" t="s">
        <v>219</v>
      </c>
      <c r="B785" s="287" t="str">
        <f>HYPERLINK("https://uva.onlinejudge.org/index.php?option=onlinejudge&amp;page=show_problem&amp;problem=349","UVA 408")</f>
        <v>UVA 408</v>
      </c>
      <c r="C785" s="67"/>
      <c r="D785" s="67"/>
      <c r="E785" s="67"/>
      <c r="F785" s="67"/>
      <c r="G785" s="67"/>
      <c r="H785" s="67"/>
      <c r="I785" s="36">
        <f t="shared" si="3"/>
        <v>0</v>
      </c>
      <c r="J785" s="67"/>
      <c r="K785" s="36"/>
      <c r="L785" s="67"/>
      <c r="M785" s="54" t="str">
        <f>HYPERLINK("https://www.youtube.com/watch?v=VmL4PQIZ-6c","Video Solution - Eng Yahia Ashraf")</f>
        <v>Video Solution - Eng Yahia Ashraf</v>
      </c>
      <c r="N785" s="286" t="s">
        <v>1658</v>
      </c>
      <c r="O785" s="286">
        <v>109</v>
      </c>
      <c r="P785" s="286">
        <v>3</v>
      </c>
    </row>
    <row r="786" spans="1:17" ht="12.5">
      <c r="A786" s="60" t="s">
        <v>995</v>
      </c>
      <c r="B786" s="287" t="str">
        <f>HYPERLINK("https://uva.onlinejudge.org/index.php?option=onlinejudge&amp;page=show_problem&amp;problem=2096","UVA 11155")</f>
        <v>UVA 11155</v>
      </c>
      <c r="C786" s="67"/>
      <c r="D786" s="67"/>
      <c r="E786" s="67"/>
      <c r="F786" s="67"/>
      <c r="G786" s="67"/>
      <c r="H786" s="67"/>
      <c r="I786" s="36">
        <f t="shared" si="3"/>
        <v>0</v>
      </c>
      <c r="J786" s="36"/>
      <c r="K786" s="36"/>
      <c r="L786" s="67"/>
      <c r="M786" s="60"/>
      <c r="N786" s="286" t="s">
        <v>1658</v>
      </c>
      <c r="O786" s="286">
        <v>109</v>
      </c>
      <c r="P786" s="286">
        <v>5</v>
      </c>
    </row>
    <row r="787" spans="1:17" ht="12.5">
      <c r="A787" s="60" t="s">
        <v>820</v>
      </c>
      <c r="B787" s="287" t="str">
        <f>HYPERLINK("http://codeforces.com/contest/337/problem/C","CF337-D2-C")</f>
        <v>CF337-D2-C</v>
      </c>
      <c r="C787" s="67"/>
      <c r="D787" s="67"/>
      <c r="E787" s="67"/>
      <c r="F787" s="67"/>
      <c r="G787" s="67"/>
      <c r="H787" s="67"/>
      <c r="I787" s="36">
        <f t="shared" si="3"/>
        <v>0</v>
      </c>
      <c r="J787" s="36"/>
      <c r="K787" s="36"/>
      <c r="L787" s="67"/>
      <c r="M787" s="60"/>
      <c r="N787" s="286" t="s">
        <v>1695</v>
      </c>
      <c r="O787" s="286">
        <v>109</v>
      </c>
      <c r="P787" s="286">
        <v>5.5</v>
      </c>
      <c r="Q787" s="12" t="s">
        <v>1245</v>
      </c>
    </row>
    <row r="788" spans="1:17" ht="12.5">
      <c r="A788" s="60" t="s">
        <v>681</v>
      </c>
      <c r="B788" s="287" t="str">
        <f>HYPERLINK("https://uva.onlinejudge.org/index.php?option=onlinejudge&amp;page=show_problem&amp;problem=1432","UVA 10491")</f>
        <v>UVA 10491</v>
      </c>
      <c r="C788" s="67"/>
      <c r="D788" s="67"/>
      <c r="E788" s="67"/>
      <c r="F788" s="67"/>
      <c r="G788" s="67"/>
      <c r="H788" s="67"/>
      <c r="I788" s="36">
        <f t="shared" si="3"/>
        <v>0</v>
      </c>
      <c r="J788" s="36"/>
      <c r="K788" s="36"/>
      <c r="L788" s="67"/>
      <c r="M788" s="301" t="str">
        <f>HYPERLINK("https://www.probabilitycourse.com/","Revise Probability")</f>
        <v>Revise Probability</v>
      </c>
      <c r="N788" s="286" t="s">
        <v>1696</v>
      </c>
      <c r="O788" s="286">
        <v>113</v>
      </c>
      <c r="P788" s="286">
        <v>2</v>
      </c>
    </row>
    <row r="789" spans="1:17" ht="12.5">
      <c r="A789" s="60" t="s">
        <v>682</v>
      </c>
      <c r="B789" s="287" t="str">
        <f>HYPERLINK("https://uva.onlinejudge.org/index.php?option=com_onlinejudge&amp;Itemid=8&amp;page=show_problem&amp;problem=997","UVA 10056")</f>
        <v>UVA 10056</v>
      </c>
      <c r="C789" s="67"/>
      <c r="D789" s="67"/>
      <c r="E789" s="67"/>
      <c r="F789" s="67"/>
      <c r="G789" s="67"/>
      <c r="H789" s="67"/>
      <c r="I789" s="36">
        <f t="shared" si="3"/>
        <v>0</v>
      </c>
      <c r="J789" s="36"/>
      <c r="K789" s="36"/>
      <c r="L789" s="67"/>
      <c r="M789" s="301" t="str">
        <f>HYPERLINK("https://github.com/mostafa-saad/MyCompetitiveProgramming/blob/master/UVA/UVA_10056.txt","Sol")</f>
        <v>Sol</v>
      </c>
      <c r="N789" s="286" t="s">
        <v>1697</v>
      </c>
      <c r="O789" s="286">
        <v>113</v>
      </c>
      <c r="P789" s="286">
        <v>3</v>
      </c>
    </row>
    <row r="790" spans="1:17" ht="12.5">
      <c r="A790" s="60"/>
      <c r="B790" s="287" t="str">
        <f>HYPERLINK("https://www.hackerrank.com/challenges/sherlock-and-probability","HACKR sherlock-and-probability")</f>
        <v>HACKR sherlock-and-probability</v>
      </c>
      <c r="C790" s="67"/>
      <c r="D790" s="67"/>
      <c r="E790" s="67"/>
      <c r="F790" s="67"/>
      <c r="G790" s="67"/>
      <c r="H790" s="67"/>
      <c r="I790" s="36">
        <f t="shared" si="3"/>
        <v>0</v>
      </c>
      <c r="J790" s="67"/>
      <c r="K790" s="67"/>
      <c r="L790" s="67"/>
      <c r="M790" s="301" t="str">
        <f>HYPERLINK("https://github.com/MohamedNabil97/CompetitiveProgramming/blob/master/Hackerrank/sherlock-and-probability.cpp","Sol")</f>
        <v>Sol</v>
      </c>
      <c r="N790" s="286" t="s">
        <v>1698</v>
      </c>
      <c r="O790" s="286">
        <v>113</v>
      </c>
      <c r="P790" s="286">
        <v>3</v>
      </c>
    </row>
    <row r="791" spans="1:17" ht="12.5">
      <c r="A791" s="60" t="s">
        <v>684</v>
      </c>
      <c r="B791" s="287" t="str">
        <f>HYPERLINK("https://uva.onlinejudge.org/index.php?option=com_onlinejudge&amp;Itemid=8&amp;page=show_problem&amp;problem=2122","UVA 11181")</f>
        <v>UVA 11181</v>
      </c>
      <c r="C791" s="67"/>
      <c r="D791" s="67"/>
      <c r="E791" s="67"/>
      <c r="F791" s="67"/>
      <c r="G791" s="67"/>
      <c r="H791" s="67"/>
      <c r="I791" s="36">
        <f t="shared" si="3"/>
        <v>0</v>
      </c>
      <c r="J791" s="36"/>
      <c r="K791" s="36"/>
      <c r="L791" s="67"/>
      <c r="M791" s="301" t="str">
        <f>HYPERLINK("https://github.com/MohamedNabil97/CompetitiveProgramming/blob/master/UVA/1181.cpp","Sol")</f>
        <v>Sol</v>
      </c>
      <c r="N791" s="286" t="s">
        <v>1699</v>
      </c>
      <c r="O791" s="286">
        <v>113</v>
      </c>
      <c r="P791" s="286">
        <v>4</v>
      </c>
      <c r="Q791" s="12" t="s">
        <v>1243</v>
      </c>
    </row>
    <row r="792" spans="1:17" ht="12.5">
      <c r="A792" s="60" t="s">
        <v>685</v>
      </c>
      <c r="B792" s="287" t="str">
        <f>HYPERLINK("https://uva.onlinejudge.org/index.php?option=com_onlinejudge&amp;Itemid=8&amp;page=show_problem&amp;problem=2675","UVA 11628")</f>
        <v>UVA 11628</v>
      </c>
      <c r="C792" s="67"/>
      <c r="D792" s="67"/>
      <c r="E792" s="67"/>
      <c r="F792" s="67"/>
      <c r="G792" s="67"/>
      <c r="H792" s="67"/>
      <c r="I792" s="36">
        <f t="shared" si="3"/>
        <v>0</v>
      </c>
      <c r="J792" s="36"/>
      <c r="K792" s="36"/>
      <c r="L792" s="67"/>
      <c r="M792" s="301" t="str">
        <f>HYPERLINK("https://github.com/mostafa-saad/MyCompetitiveProgramming/blob/master/UVA/UVA_11628.txt","Sol")</f>
        <v>Sol</v>
      </c>
      <c r="N792" s="286" t="s">
        <v>1700</v>
      </c>
      <c r="O792" s="286">
        <v>113</v>
      </c>
      <c r="P792" s="286">
        <v>4</v>
      </c>
    </row>
    <row r="793" spans="1:17" ht="12.5">
      <c r="A793" s="60" t="s">
        <v>1006</v>
      </c>
      <c r="B793" s="287" t="str">
        <f>HYPERLINK("http://codeforces.com/contest/186/problem/D","CF186-D2-D")</f>
        <v>CF186-D2-D</v>
      </c>
      <c r="C793" s="67"/>
      <c r="D793" s="67"/>
      <c r="E793" s="67"/>
      <c r="F793" s="67"/>
      <c r="G793" s="67"/>
      <c r="H793" s="67"/>
      <c r="I793" s="36">
        <f t="shared" si="3"/>
        <v>0</v>
      </c>
      <c r="J793" s="36"/>
      <c r="K793" s="36"/>
      <c r="L793" s="67"/>
      <c r="M793" s="60"/>
      <c r="N793" s="286" t="s">
        <v>1701</v>
      </c>
      <c r="O793" s="286">
        <v>113</v>
      </c>
      <c r="P793" s="286">
        <v>5</v>
      </c>
      <c r="Q793" s="12" t="s">
        <v>1270</v>
      </c>
    </row>
    <row r="794" spans="1:17" ht="12.5">
      <c r="A794" s="60"/>
      <c r="B794" s="287" t="str">
        <f>HYPERLINK("http://codeforces.com/gym/101864/problem/A","CF101864-GYM-A")</f>
        <v>CF101864-GYM-A</v>
      </c>
      <c r="C794" s="67"/>
      <c r="D794" s="67"/>
      <c r="E794" s="67"/>
      <c r="F794" s="67"/>
      <c r="G794" s="67"/>
      <c r="H794" s="67"/>
      <c r="I794" s="36">
        <f t="shared" si="3"/>
        <v>0</v>
      </c>
      <c r="J794" s="36"/>
      <c r="K794" s="36"/>
      <c r="L794" s="302"/>
      <c r="M794" s="301" t="str">
        <f>HYPERLINK("https://github.com/SpeedOfMagic/CompetitiveProgramming/blob/master/CodeforcesGym/CF101864-GYM-A.cpp","Sol")</f>
        <v>Sol</v>
      </c>
      <c r="N794" s="286" t="s">
        <v>1702</v>
      </c>
      <c r="O794" s="286">
        <v>113</v>
      </c>
      <c r="P794" s="286">
        <v>5</v>
      </c>
      <c r="Q794" s="12" t="s">
        <v>1243</v>
      </c>
    </row>
    <row r="795" spans="1:17" ht="12.5">
      <c r="A795" s="60"/>
      <c r="B795" s="60" t="s">
        <v>1039</v>
      </c>
      <c r="C795" s="67"/>
      <c r="D795" s="67"/>
      <c r="E795" s="67"/>
      <c r="F795" s="67"/>
      <c r="G795" s="67"/>
      <c r="H795" s="67"/>
      <c r="I795" s="36">
        <f t="shared" si="3"/>
        <v>0</v>
      </c>
      <c r="J795" s="67"/>
      <c r="K795" s="67"/>
      <c r="L795" s="302"/>
      <c r="M795" s="286"/>
      <c r="N795" s="286" t="s">
        <v>1703</v>
      </c>
      <c r="O795" s="286">
        <v>113</v>
      </c>
      <c r="P795" s="286">
        <v>5</v>
      </c>
      <c r="Q795" s="12" t="s">
        <v>1243</v>
      </c>
    </row>
    <row r="796" spans="1:17" ht="12.5">
      <c r="A796" s="60" t="s">
        <v>686</v>
      </c>
      <c r="B796" s="287" t="str">
        <f>HYPERLINK("https://uva.onlinejudge.org/index.php?option=com_onlinejudge&amp;Itemid=8&amp;page=show_problem&amp;problem=3904","UVA 12461")</f>
        <v>UVA 12461</v>
      </c>
      <c r="C796" s="67"/>
      <c r="D796" s="67"/>
      <c r="E796" s="67"/>
      <c r="F796" s="67"/>
      <c r="G796" s="67"/>
      <c r="H796" s="67"/>
      <c r="I796" s="36">
        <f t="shared" si="3"/>
        <v>0</v>
      </c>
      <c r="J796" s="36"/>
      <c r="K796" s="36"/>
      <c r="L796" s="67"/>
      <c r="M796" s="170" t="str">
        <f>HYPERLINK("https://github.com/VAMPIER000001/CompetitiveProgramming/blob/master/UVA/V-124/UVA%2012461.Cpp","Sol")</f>
        <v>Sol</v>
      </c>
      <c r="N796" s="286" t="s">
        <v>1704</v>
      </c>
      <c r="O796" s="286">
        <v>113</v>
      </c>
      <c r="P796" s="286">
        <v>5</v>
      </c>
      <c r="Q796" s="12" t="s">
        <v>1239</v>
      </c>
    </row>
    <row r="797" spans="1:17" ht="12.5">
      <c r="A797" s="60" t="s">
        <v>1194</v>
      </c>
      <c r="B797" s="287" t="str">
        <f>HYPERLINK("https://uva.onlinejudge.org/index.php?option=onlinejudge&amp;page=show_problem&amp;problem=2321","UVa 11346")</f>
        <v>UVa 11346</v>
      </c>
      <c r="C797" s="67"/>
      <c r="D797" s="67"/>
      <c r="E797" s="67"/>
      <c r="F797" s="67"/>
      <c r="G797" s="67"/>
      <c r="H797" s="67"/>
      <c r="I797" s="36">
        <f t="shared" si="3"/>
        <v>0</v>
      </c>
      <c r="J797" s="67"/>
      <c r="K797" s="67"/>
      <c r="L797" s="67"/>
      <c r="M797" s="216" t="str">
        <f>HYPERLINK("https://github.com/VAMPIER000001/CompetitiveProgramming/blob/master/UVA/V-113/UVA%2011346.cpp","Sol")</f>
        <v>Sol</v>
      </c>
      <c r="N797" s="286" t="s">
        <v>1705</v>
      </c>
      <c r="O797" s="286">
        <v>113</v>
      </c>
      <c r="P797" s="286">
        <v>5.25</v>
      </c>
      <c r="Q797" s="12" t="s">
        <v>1245</v>
      </c>
    </row>
    <row r="798" spans="1:17" ht="12.5">
      <c r="A798" s="60"/>
      <c r="B798" s="60" t="s">
        <v>1077</v>
      </c>
      <c r="C798" s="67"/>
      <c r="D798" s="67"/>
      <c r="E798" s="67"/>
      <c r="F798" s="67"/>
      <c r="G798" s="67"/>
      <c r="H798" s="67"/>
      <c r="I798" s="36">
        <f t="shared" si="3"/>
        <v>0</v>
      </c>
      <c r="J798" s="67"/>
      <c r="K798" s="67"/>
      <c r="L798" s="67"/>
      <c r="M798" s="286"/>
      <c r="N798" s="286" t="s">
        <v>1706</v>
      </c>
      <c r="O798" s="286">
        <v>113</v>
      </c>
      <c r="P798" s="286">
        <v>5.5</v>
      </c>
      <c r="Q798" s="12"/>
    </row>
    <row r="799" spans="1:17" ht="12.5">
      <c r="A799" s="60"/>
      <c r="B799" s="287" t="str">
        <f>HYPERLINK("http://codeforces.com/contest/26/problem/D","CF26-D12-D")</f>
        <v>CF26-D12-D</v>
      </c>
      <c r="C799" s="67"/>
      <c r="D799" s="67"/>
      <c r="E799" s="67"/>
      <c r="F799" s="67"/>
      <c r="G799" s="67"/>
      <c r="H799" s="67"/>
      <c r="I799" s="36">
        <f t="shared" si="3"/>
        <v>0</v>
      </c>
      <c r="J799" s="67"/>
      <c r="K799" s="67"/>
      <c r="L799" s="67"/>
      <c r="M799" s="216" t="str">
        <f>HYPERLINK("https://github.com/mostafa-saad/MyCompetitiveProgramming/blob/master/Codeforces/CF26-D12-D.txt","Sol - must read")</f>
        <v>Sol - must read</v>
      </c>
      <c r="N799" s="286" t="s">
        <v>1707</v>
      </c>
      <c r="O799" s="286">
        <v>113</v>
      </c>
      <c r="P799" s="286">
        <v>5.5</v>
      </c>
      <c r="Q799" s="12" t="s">
        <v>1245</v>
      </c>
    </row>
    <row r="800" spans="1:17" ht="12.5">
      <c r="A800" s="60"/>
      <c r="B800" s="287" t="str">
        <f>HYPERLINK("http://codeforces.com/problemset/problem/442/B","CF442-D1-B")</f>
        <v>CF442-D1-B</v>
      </c>
      <c r="C800" s="67"/>
      <c r="D800" s="67"/>
      <c r="E800" s="67"/>
      <c r="F800" s="67"/>
      <c r="G800" s="67"/>
      <c r="H800" s="67"/>
      <c r="I800" s="36">
        <f t="shared" si="3"/>
        <v>0</v>
      </c>
      <c r="J800" s="67"/>
      <c r="K800" s="67"/>
      <c r="L800" s="67"/>
      <c r="M800" s="28"/>
      <c r="N800" s="286" t="s">
        <v>1708</v>
      </c>
      <c r="O800" s="286">
        <v>113</v>
      </c>
      <c r="P800" s="286">
        <v>5.5</v>
      </c>
      <c r="Q800" s="12" t="s">
        <v>1245</v>
      </c>
    </row>
    <row r="801" spans="1:17" ht="12.5">
      <c r="A801" s="60"/>
      <c r="B801" s="60" t="s">
        <v>1111</v>
      </c>
      <c r="C801" s="67"/>
      <c r="D801" s="67"/>
      <c r="E801" s="67"/>
      <c r="F801" s="67"/>
      <c r="G801" s="67"/>
      <c r="H801" s="67"/>
      <c r="I801" s="36">
        <f t="shared" si="3"/>
        <v>0</v>
      </c>
      <c r="J801" s="36"/>
      <c r="K801" s="36"/>
      <c r="L801" s="67"/>
      <c r="M801" s="191"/>
      <c r="N801" s="286" t="s">
        <v>1709</v>
      </c>
      <c r="O801" s="286">
        <v>113</v>
      </c>
      <c r="P801" s="286">
        <v>5.5</v>
      </c>
    </row>
    <row r="802" spans="1:17" ht="12.5">
      <c r="A802" s="60"/>
      <c r="B802" s="287" t="str">
        <f>HYPERLINK("http://codeforces.com/contest/513/problem/C","CF513-D12-C")</f>
        <v>CF513-D12-C</v>
      </c>
      <c r="C802" s="67"/>
      <c r="D802" s="67"/>
      <c r="E802" s="67"/>
      <c r="F802" s="67"/>
      <c r="G802" s="67"/>
      <c r="H802" s="67"/>
      <c r="I802" s="36">
        <f t="shared" si="3"/>
        <v>0</v>
      </c>
      <c r="J802" s="67"/>
      <c r="K802" s="67"/>
      <c r="L802" s="302"/>
      <c r="M802" s="301" t="str">
        <f>HYPERLINK("https://github.com/aabdelzaher/Competitive-Programming/blob/master/Codeforces/CF513-D12-C.java","Sol")</f>
        <v>Sol</v>
      </c>
      <c r="N802" s="286" t="s">
        <v>1710</v>
      </c>
      <c r="O802" s="286">
        <v>113</v>
      </c>
      <c r="P802" s="286">
        <v>6</v>
      </c>
      <c r="Q802" s="12" t="s">
        <v>1245</v>
      </c>
    </row>
    <row r="803" spans="1:17" ht="12.5">
      <c r="A803" s="60"/>
      <c r="B803" s="60" t="s">
        <v>1076</v>
      </c>
      <c r="C803" s="67"/>
      <c r="D803" s="67"/>
      <c r="E803" s="67"/>
      <c r="F803" s="67"/>
      <c r="G803" s="67"/>
      <c r="H803" s="67"/>
      <c r="I803" s="36">
        <f t="shared" si="3"/>
        <v>0</v>
      </c>
      <c r="J803" s="67"/>
      <c r="K803" s="67"/>
      <c r="L803" s="67"/>
      <c r="M803" s="301" t="str">
        <f>HYPERLINK("https://github.com/aboodJAD/CompetitiveProgramming/blob/master/UVA/UVA%20557.cpp","Sol")</f>
        <v>Sol</v>
      </c>
      <c r="N803" s="286" t="s">
        <v>1711</v>
      </c>
      <c r="O803" s="286">
        <v>113</v>
      </c>
      <c r="P803" s="286">
        <v>6</v>
      </c>
    </row>
    <row r="804" spans="1:17" ht="12.5">
      <c r="A804" s="60"/>
      <c r="B804" s="60" t="s">
        <v>617</v>
      </c>
      <c r="C804" s="67"/>
      <c r="D804" s="67"/>
      <c r="E804" s="67"/>
      <c r="F804" s="67"/>
      <c r="G804" s="67"/>
      <c r="H804" s="67"/>
      <c r="I804" s="36">
        <f t="shared" si="3"/>
        <v>0</v>
      </c>
      <c r="J804" s="36"/>
      <c r="K804" s="36"/>
      <c r="L804" s="67"/>
      <c r="M804" s="301" t="str">
        <f>HYPERLINK("https://stackoverflow.com/questions/25281005/calculating-probability-for-funprob","Sol")</f>
        <v>Sol</v>
      </c>
      <c r="N804" s="286" t="s">
        <v>1712</v>
      </c>
      <c r="O804" s="286">
        <v>113</v>
      </c>
      <c r="P804" s="286">
        <v>6</v>
      </c>
    </row>
    <row r="805" spans="1:17" ht="12.5">
      <c r="A805" s="60"/>
      <c r="B805" s="287" t="str">
        <f>HYPERLINK("http://codeforces.com/contest/163/problem/C","CF163-D12-C")</f>
        <v>CF163-D12-C</v>
      </c>
      <c r="C805" s="67"/>
      <c r="D805" s="67"/>
      <c r="E805" s="67"/>
      <c r="F805" s="67"/>
      <c r="G805" s="67"/>
      <c r="H805" s="67"/>
      <c r="I805" s="36">
        <f t="shared" si="3"/>
        <v>0</v>
      </c>
      <c r="J805" s="67"/>
      <c r="K805" s="67"/>
      <c r="L805" s="67"/>
      <c r="M805" s="28"/>
      <c r="N805" s="286" t="s">
        <v>1697</v>
      </c>
      <c r="O805" s="286">
        <v>113</v>
      </c>
      <c r="P805" s="286">
        <v>6.25</v>
      </c>
    </row>
    <row r="806" spans="1:17" ht="12.5">
      <c r="A806" s="60"/>
      <c r="B806" s="287" t="str">
        <f>HYPERLINK("http://codeforces.com/contest/110/problem/D","CF110-D2-D")</f>
        <v>CF110-D2-D</v>
      </c>
      <c r="C806" s="67"/>
      <c r="D806" s="67"/>
      <c r="E806" s="67"/>
      <c r="F806" s="67"/>
      <c r="G806" s="67"/>
      <c r="H806" s="67"/>
      <c r="I806" s="36">
        <f t="shared" si="3"/>
        <v>0</v>
      </c>
      <c r="J806" s="67"/>
      <c r="K806" s="67"/>
      <c r="L806" s="67"/>
      <c r="M806" s="28"/>
      <c r="N806" s="286" t="s">
        <v>1713</v>
      </c>
      <c r="O806" s="286">
        <v>113</v>
      </c>
      <c r="P806" s="286">
        <v>6.25</v>
      </c>
    </row>
    <row r="807" spans="1:17" ht="12.5">
      <c r="A807" s="60" t="s">
        <v>841</v>
      </c>
      <c r="B807" s="287" t="str">
        <f>HYPERLINK("https://uva.onlinejudge.org/index.php?option=com_onlinejudge&amp;Itemid=8&amp;page=show_problem&amp;problem=1718","UVA 10777")</f>
        <v>UVA 10777</v>
      </c>
      <c r="C807" s="67"/>
      <c r="D807" s="67"/>
      <c r="E807" s="67"/>
      <c r="F807" s="67"/>
      <c r="G807" s="67"/>
      <c r="H807" s="67"/>
      <c r="I807" s="36">
        <f t="shared" si="3"/>
        <v>0</v>
      </c>
      <c r="J807" s="36"/>
      <c r="K807" s="36"/>
      <c r="L807" s="67"/>
      <c r="M807" s="301" t="str">
        <f>HYPERLINK("https://github.com/ilyesG/Competitive-Programming/blob/master/UVA/UVA%2010777.cpp","Sol")</f>
        <v>Sol</v>
      </c>
      <c r="N807" s="286" t="s">
        <v>1714</v>
      </c>
      <c r="O807" s="286">
        <v>114</v>
      </c>
      <c r="P807" s="286">
        <v>4</v>
      </c>
    </row>
    <row r="808" spans="1:17" ht="12.5">
      <c r="A808" s="60"/>
      <c r="B808" s="60" t="s">
        <v>742</v>
      </c>
      <c r="C808" s="67"/>
      <c r="D808" s="67"/>
      <c r="E808" s="67"/>
      <c r="F808" s="67"/>
      <c r="G808" s="67"/>
      <c r="H808" s="67"/>
      <c r="I808" s="36">
        <f t="shared" si="3"/>
        <v>0</v>
      </c>
      <c r="J808" s="36"/>
      <c r="K808" s="36"/>
      <c r="L808" s="67"/>
      <c r="M808" s="173"/>
      <c r="N808" s="286" t="s">
        <v>1715</v>
      </c>
      <c r="O808" s="286">
        <v>114</v>
      </c>
      <c r="P808" s="286">
        <v>4</v>
      </c>
    </row>
    <row r="809" spans="1:17" ht="12.5">
      <c r="A809" s="60"/>
      <c r="B809" s="287" t="str">
        <f>HYPERLINK("http://codeforces.com/contest/839/problem/C","CF839-D2-C")</f>
        <v>CF839-D2-C</v>
      </c>
      <c r="C809" s="67"/>
      <c r="D809" s="67"/>
      <c r="E809" s="67"/>
      <c r="F809" s="67"/>
      <c r="G809" s="67"/>
      <c r="H809" s="67"/>
      <c r="I809" s="36">
        <f t="shared" si="3"/>
        <v>0</v>
      </c>
      <c r="J809" s="36"/>
      <c r="K809" s="36"/>
      <c r="L809" s="67"/>
      <c r="M809" s="60"/>
      <c r="N809" s="286" t="s">
        <v>1716</v>
      </c>
      <c r="O809" s="286">
        <v>114</v>
      </c>
      <c r="P809" s="286">
        <v>4</v>
      </c>
    </row>
    <row r="810" spans="1:17" ht="12.5">
      <c r="A810" s="60"/>
      <c r="B810" s="287" t="str">
        <f>HYPERLINK("https://www.hackerrank.com/challenges/lazy-sorting","HACKR lazy-sorting")</f>
        <v>HACKR lazy-sorting</v>
      </c>
      <c r="C810" s="67"/>
      <c r="D810" s="67"/>
      <c r="E810" s="67"/>
      <c r="F810" s="67"/>
      <c r="G810" s="67"/>
      <c r="H810" s="67"/>
      <c r="I810" s="36">
        <f t="shared" si="3"/>
        <v>0</v>
      </c>
      <c r="J810" s="36"/>
      <c r="K810" s="36"/>
      <c r="L810" s="67"/>
      <c r="M810" s="301" t="str">
        <f>HYPERLINK("https://www.youtube.com/watch?v=j__Kredt7vY","Revise Expected Value")</f>
        <v>Revise Expected Value</v>
      </c>
      <c r="N810" s="286" t="s">
        <v>1717</v>
      </c>
      <c r="O810" s="286">
        <v>114</v>
      </c>
      <c r="P810" s="286">
        <v>4</v>
      </c>
    </row>
    <row r="811" spans="1:17" ht="12.5">
      <c r="A811" s="60" t="s">
        <v>952</v>
      </c>
      <c r="B811" s="287" t="str">
        <f>HYPERLINK("http://codeforces.com/contest/443/problem/D","CF443-D2-D")</f>
        <v>CF443-D2-D</v>
      </c>
      <c r="C811" s="67"/>
      <c r="D811" s="67"/>
      <c r="E811" s="67"/>
      <c r="F811" s="67"/>
      <c r="G811" s="67"/>
      <c r="H811" s="67"/>
      <c r="I811" s="36">
        <f t="shared" si="3"/>
        <v>0</v>
      </c>
      <c r="J811" s="67"/>
      <c r="K811" s="67"/>
      <c r="L811" s="302"/>
      <c r="M811" s="216" t="str">
        <f>HYPERLINK("http://codeforces.com/contest/443/submission/27060632","Sol")</f>
        <v>Sol</v>
      </c>
      <c r="N811" s="286" t="s">
        <v>1718</v>
      </c>
      <c r="O811" s="286">
        <v>114</v>
      </c>
      <c r="P811" s="286">
        <v>4.5</v>
      </c>
      <c r="Q811" s="12" t="s">
        <v>1245</v>
      </c>
    </row>
    <row r="812" spans="1:17" ht="12.5">
      <c r="A812" s="60" t="s">
        <v>747</v>
      </c>
      <c r="B812" s="287" t="str">
        <f>HYPERLINK("http://codeforces.com/contest/621/problem/C","CF621-D2-C")</f>
        <v>CF621-D2-C</v>
      </c>
      <c r="C812" s="67"/>
      <c r="D812" s="67"/>
      <c r="E812" s="67"/>
      <c r="F812" s="67"/>
      <c r="G812" s="67"/>
      <c r="H812" s="67"/>
      <c r="I812" s="36">
        <f t="shared" si="3"/>
        <v>0</v>
      </c>
      <c r="J812" s="36"/>
      <c r="K812" s="36"/>
      <c r="L812" s="67"/>
      <c r="M812" s="60"/>
      <c r="N812" s="286" t="s">
        <v>1719</v>
      </c>
      <c r="O812" s="286">
        <v>114</v>
      </c>
      <c r="P812" s="286">
        <v>4.5</v>
      </c>
    </row>
    <row r="813" spans="1:17" ht="12.5">
      <c r="A813" s="60" t="s">
        <v>1720</v>
      </c>
      <c r="B813" s="287" t="str">
        <f>HYPERLINK("http://codeforces.com/contest/454/problem/C","CF454-D2-C")</f>
        <v>CF454-D2-C</v>
      </c>
      <c r="C813" s="67"/>
      <c r="D813" s="67"/>
      <c r="E813" s="67"/>
      <c r="F813" s="67"/>
      <c r="G813" s="67"/>
      <c r="H813" s="67"/>
      <c r="I813" s="36">
        <f t="shared" si="3"/>
        <v>0</v>
      </c>
      <c r="J813" s="36"/>
      <c r="K813" s="36"/>
      <c r="L813" s="67"/>
      <c r="M813" s="28"/>
      <c r="N813" s="286" t="s">
        <v>1721</v>
      </c>
      <c r="O813" s="286">
        <v>114</v>
      </c>
      <c r="P813" s="286">
        <v>4.5</v>
      </c>
    </row>
    <row r="814" spans="1:17" ht="12.5">
      <c r="A814" s="60"/>
      <c r="B814" s="287" t="str">
        <f>HYPERLINK("https://www.hackerrank.com/challenges/vertical-sticks","HACKR vertical-sticks")</f>
        <v>HACKR vertical-sticks</v>
      </c>
      <c r="C814" s="67"/>
      <c r="D814" s="67"/>
      <c r="E814" s="67"/>
      <c r="F814" s="67"/>
      <c r="G814" s="67"/>
      <c r="H814" s="67"/>
      <c r="I814" s="36">
        <f t="shared" si="3"/>
        <v>0</v>
      </c>
      <c r="J814" s="67"/>
      <c r="K814" s="67"/>
      <c r="L814" s="67"/>
      <c r="M814" s="286"/>
      <c r="N814" s="286" t="s">
        <v>1722</v>
      </c>
      <c r="O814" s="286">
        <v>114</v>
      </c>
      <c r="P814" s="286">
        <v>5</v>
      </c>
      <c r="Q814" s="12" t="s">
        <v>1245</v>
      </c>
    </row>
    <row r="815" spans="1:17" ht="12.5">
      <c r="A815" s="60"/>
      <c r="B815" s="60" t="s">
        <v>842</v>
      </c>
      <c r="C815" s="67"/>
      <c r="D815" s="67"/>
      <c r="E815" s="67"/>
      <c r="F815" s="67"/>
      <c r="G815" s="67"/>
      <c r="H815" s="67"/>
      <c r="I815" s="36">
        <f t="shared" si="3"/>
        <v>0</v>
      </c>
      <c r="J815" s="36"/>
      <c r="K815" s="36"/>
      <c r="L815" s="67"/>
      <c r="M815" s="60"/>
      <c r="N815" s="286" t="s">
        <v>1723</v>
      </c>
      <c r="O815" s="286">
        <v>114</v>
      </c>
      <c r="P815" s="286">
        <v>5</v>
      </c>
      <c r="Q815" s="12" t="s">
        <v>1245</v>
      </c>
    </row>
    <row r="816" spans="1:17" ht="12.5">
      <c r="A816" s="60"/>
      <c r="B816" s="60" t="s">
        <v>1195</v>
      </c>
      <c r="C816" s="67"/>
      <c r="D816" s="67"/>
      <c r="E816" s="67"/>
      <c r="F816" s="67"/>
      <c r="G816" s="67"/>
      <c r="H816" s="67"/>
      <c r="I816" s="36">
        <f t="shared" si="3"/>
        <v>0</v>
      </c>
      <c r="J816" s="67"/>
      <c r="K816" s="67"/>
      <c r="L816" s="67"/>
      <c r="M816" s="28"/>
      <c r="N816" s="286" t="s">
        <v>1719</v>
      </c>
      <c r="O816" s="286">
        <v>114</v>
      </c>
      <c r="P816" s="286">
        <v>5.5</v>
      </c>
      <c r="Q816" s="12" t="s">
        <v>1243</v>
      </c>
    </row>
    <row r="817" spans="1:17" ht="12.5">
      <c r="A817" s="60"/>
      <c r="B817" s="287" t="str">
        <f>HYPERLINK("http://codeforces.com/contest/500/problem/D","CF500-D12-D")</f>
        <v>CF500-D12-D</v>
      </c>
      <c r="C817" s="67"/>
      <c r="D817" s="67"/>
      <c r="E817" s="67"/>
      <c r="F817" s="67"/>
      <c r="G817" s="67"/>
      <c r="H817" s="67"/>
      <c r="I817" s="36">
        <f t="shared" si="3"/>
        <v>0</v>
      </c>
      <c r="J817" s="67"/>
      <c r="K817" s="67"/>
      <c r="L817" s="67"/>
      <c r="M817" s="286"/>
      <c r="N817" s="286" t="s">
        <v>1716</v>
      </c>
      <c r="O817" s="286">
        <v>114</v>
      </c>
      <c r="P817" s="286">
        <v>5.5</v>
      </c>
      <c r="Q817" s="12" t="s">
        <v>1243</v>
      </c>
    </row>
    <row r="818" spans="1:17" ht="12.5">
      <c r="A818" s="60"/>
      <c r="B818" s="287" t="str">
        <f>HYPERLINK("http://codeforces.com/contest/280/problem/C","CF280-D1-C")</f>
        <v>CF280-D1-C</v>
      </c>
      <c r="C818" s="67"/>
      <c r="D818" s="67"/>
      <c r="E818" s="67"/>
      <c r="F818" s="67"/>
      <c r="G818" s="67"/>
      <c r="H818" s="67"/>
      <c r="I818" s="36">
        <f t="shared" si="3"/>
        <v>0</v>
      </c>
      <c r="J818" s="67"/>
      <c r="K818" s="67"/>
      <c r="L818" s="67"/>
      <c r="M818" s="28"/>
      <c r="N818" s="286" t="s">
        <v>1724</v>
      </c>
      <c r="O818" s="286">
        <v>114</v>
      </c>
      <c r="P818" s="286">
        <v>6</v>
      </c>
      <c r="Q818" s="12" t="s">
        <v>1245</v>
      </c>
    </row>
    <row r="819" spans="1:17" ht="12.5">
      <c r="A819" s="60" t="s">
        <v>1019</v>
      </c>
      <c r="B819" s="287" t="str">
        <f>HYPERLINK("http://codeforces.com/contest/268/problem/E","CF268-D2-E")</f>
        <v>CF268-D2-E</v>
      </c>
      <c r="C819" s="67"/>
      <c r="D819" s="67"/>
      <c r="E819" s="67"/>
      <c r="F819" s="67"/>
      <c r="G819" s="67"/>
      <c r="H819" s="67"/>
      <c r="I819" s="36">
        <f t="shared" si="3"/>
        <v>0</v>
      </c>
      <c r="J819" s="67"/>
      <c r="K819" s="67"/>
      <c r="L819" s="302"/>
      <c r="M819" s="301" t="str">
        <f>HYPERLINK("https://github.com/3agwa/CompetitiveProgramming/blob/master/CodeForces/CF268-D2-E.cpp","Sol")</f>
        <v>Sol</v>
      </c>
      <c r="N819" s="286" t="s">
        <v>1725</v>
      </c>
      <c r="O819" s="286">
        <v>114</v>
      </c>
      <c r="P819" s="286">
        <v>6</v>
      </c>
      <c r="Q819" s="12" t="s">
        <v>1245</v>
      </c>
    </row>
    <row r="820" spans="1:17" ht="12.5">
      <c r="A820" s="60" t="s">
        <v>405</v>
      </c>
      <c r="B820" s="287" t="str">
        <f>HYPERLINK("https://uva.onlinejudge.org/index.php?option=onlinejudge&amp;page=show_problem&amp;problem=310","UVA 374")</f>
        <v>UVA 374</v>
      </c>
      <c r="C820" s="67"/>
      <c r="D820" s="67"/>
      <c r="E820" s="67"/>
      <c r="F820" s="67"/>
      <c r="G820" s="67"/>
      <c r="H820" s="67"/>
      <c r="I820" s="36">
        <f t="shared" si="3"/>
        <v>0</v>
      </c>
      <c r="J820" s="36"/>
      <c r="K820" s="36"/>
      <c r="L820" s="67"/>
      <c r="M820" s="60"/>
      <c r="N820" s="286" t="s">
        <v>1726</v>
      </c>
      <c r="O820" s="286">
        <v>115</v>
      </c>
      <c r="P820" s="286">
        <v>3</v>
      </c>
    </row>
    <row r="821" spans="1:17" ht="12.5">
      <c r="A821" s="60" t="s">
        <v>586</v>
      </c>
      <c r="B821" s="287" t="str">
        <f>HYPERLINK("https://uva.onlinejudge.org/index.php?option=onlinejudge&amp;page=show_problem&amp;problem=1335","UVA 10394")</f>
        <v>UVA 10394</v>
      </c>
      <c r="C821" s="67"/>
      <c r="D821" s="67"/>
      <c r="E821" s="67"/>
      <c r="F821" s="67"/>
      <c r="G821" s="67"/>
      <c r="H821" s="67"/>
      <c r="I821" s="36">
        <f t="shared" si="3"/>
        <v>0</v>
      </c>
      <c r="J821" s="36"/>
      <c r="K821" s="36"/>
      <c r="L821" s="67"/>
      <c r="M821" s="146"/>
      <c r="N821" s="286" t="s">
        <v>1727</v>
      </c>
      <c r="O821" s="286">
        <v>117</v>
      </c>
      <c r="P821" s="286">
        <v>3</v>
      </c>
    </row>
    <row r="822" spans="1:17" ht="12.5">
      <c r="A822" s="60" t="s">
        <v>835</v>
      </c>
      <c r="B822" s="287" t="str">
        <f>HYPERLINK("https://uva.onlinejudge.org/index.php?option=com_onlinejudge&amp;Itemid=8&amp;page=show_problem&amp;problem=825","UVA 884")</f>
        <v>UVA 884</v>
      </c>
      <c r="C822" s="67"/>
      <c r="D822" s="67"/>
      <c r="E822" s="67"/>
      <c r="F822" s="67"/>
      <c r="G822" s="67"/>
      <c r="H822" s="67"/>
      <c r="I822" s="36">
        <f t="shared" si="3"/>
        <v>0</v>
      </c>
      <c r="J822" s="36"/>
      <c r="K822" s="36"/>
      <c r="L822" s="67"/>
      <c r="M822" s="60"/>
      <c r="N822" s="286" t="s">
        <v>1728</v>
      </c>
      <c r="O822" s="286">
        <v>117</v>
      </c>
      <c r="P822" s="286">
        <v>3.5</v>
      </c>
    </row>
    <row r="823" spans="1:17" ht="12.5">
      <c r="A823" s="60" t="s">
        <v>1187</v>
      </c>
      <c r="B823" s="287" t="str">
        <f>HYPERLINK("http://www.spoj.com/problems/PSYCHON/","SPOJ PSYCHON")</f>
        <v>SPOJ PSYCHON</v>
      </c>
      <c r="C823" s="67"/>
      <c r="D823" s="67"/>
      <c r="E823" s="67"/>
      <c r="F823" s="67"/>
      <c r="G823" s="67"/>
      <c r="H823" s="67"/>
      <c r="I823" s="36">
        <f t="shared" si="3"/>
        <v>0</v>
      </c>
      <c r="J823" s="36"/>
      <c r="K823" s="36"/>
      <c r="L823" s="302"/>
      <c r="M823" s="191"/>
      <c r="N823" s="286" t="s">
        <v>1729</v>
      </c>
      <c r="O823" s="286">
        <v>117</v>
      </c>
      <c r="P823" s="286">
        <v>4</v>
      </c>
      <c r="Q823" s="12" t="s">
        <v>1243</v>
      </c>
    </row>
    <row r="824" spans="1:17" ht="12.5">
      <c r="A824" s="60" t="s">
        <v>587</v>
      </c>
      <c r="B824" s="287" t="str">
        <f>HYPERLINK("https://uva.onlinejudge.org/index.php?option=onlinejudge&amp;page=show_problem&amp;problem=1109","UVA 10168")</f>
        <v>UVA 10168</v>
      </c>
      <c r="C824" s="67"/>
      <c r="D824" s="67"/>
      <c r="E824" s="67"/>
      <c r="F824" s="67"/>
      <c r="G824" s="67"/>
      <c r="H824" s="67"/>
      <c r="I824" s="36">
        <f t="shared" si="3"/>
        <v>0</v>
      </c>
      <c r="J824" s="36"/>
      <c r="K824" s="36"/>
      <c r="L824" s="67"/>
      <c r="M824" s="116" t="str">
        <f>HYPERLINK("https://www.youtube.com/watch?v=BztjeBZmzco&amp;feature=youtu.be","Video Solution - Eng Moaz Rashad")</f>
        <v>Video Solution - Eng Moaz Rashad</v>
      </c>
      <c r="N824" s="286" t="s">
        <v>1727</v>
      </c>
      <c r="O824" s="286">
        <v>117</v>
      </c>
      <c r="P824" s="286">
        <v>4</v>
      </c>
    </row>
    <row r="825" spans="1:17" ht="12.5">
      <c r="A825" s="60" t="s">
        <v>783</v>
      </c>
      <c r="B825" s="287" t="str">
        <f>HYPERLINK("http://codeforces.com/contest/569/problem/C","CF569-D2-C")</f>
        <v>CF569-D2-C</v>
      </c>
      <c r="C825" s="67"/>
      <c r="D825" s="67"/>
      <c r="E825" s="67"/>
      <c r="F825" s="67"/>
      <c r="G825" s="67"/>
      <c r="H825" s="67"/>
      <c r="I825" s="36">
        <f t="shared" si="3"/>
        <v>0</v>
      </c>
      <c r="J825" s="36"/>
      <c r="K825" s="36"/>
      <c r="L825" s="67"/>
      <c r="M825" s="28"/>
      <c r="N825" s="286" t="s">
        <v>1730</v>
      </c>
      <c r="O825" s="286">
        <v>117</v>
      </c>
      <c r="P825" s="286">
        <v>4.5</v>
      </c>
      <c r="Q825" s="12" t="s">
        <v>1245</v>
      </c>
    </row>
    <row r="826" spans="1:17" ht="12.5">
      <c r="A826" s="60" t="s">
        <v>774</v>
      </c>
      <c r="B826" s="287" t="str">
        <f>HYPERLINK("https://uva.onlinejudge.org/index.php?option=onlinejudge&amp;page=show_problem&amp;problem=1425","UVA 10484")</f>
        <v>UVA 10484</v>
      </c>
      <c r="C826" s="67"/>
      <c r="D826" s="67"/>
      <c r="E826" s="67"/>
      <c r="F826" s="67"/>
      <c r="G826" s="67"/>
      <c r="H826" s="67"/>
      <c r="I826" s="36">
        <f t="shared" si="3"/>
        <v>0</v>
      </c>
      <c r="J826" s="36"/>
      <c r="K826" s="36"/>
      <c r="L826" s="67"/>
      <c r="M826" s="290" t="str">
        <f>HYPERLINK("https://github.com/mostafa-saad/MyCompetitiveProgramming/blob/master/UVA/UVA_10484.txt","Sol to read")</f>
        <v>Sol to read</v>
      </c>
      <c r="N826" s="286" t="s">
        <v>1727</v>
      </c>
      <c r="O826" s="286">
        <v>117</v>
      </c>
      <c r="P826" s="286">
        <v>4.5</v>
      </c>
      <c r="Q826" s="12" t="s">
        <v>1243</v>
      </c>
    </row>
    <row r="827" spans="1:17" ht="12.5">
      <c r="A827" s="60"/>
      <c r="B827" s="60" t="s">
        <v>1138</v>
      </c>
      <c r="C827" s="67"/>
      <c r="D827" s="67"/>
      <c r="E827" s="67"/>
      <c r="F827" s="67"/>
      <c r="G827" s="67"/>
      <c r="H827" s="67"/>
      <c r="I827" s="36">
        <f t="shared" si="3"/>
        <v>0</v>
      </c>
      <c r="J827" s="67"/>
      <c r="K827" s="67"/>
      <c r="L827" s="302"/>
      <c r="M827" s="191"/>
      <c r="N827" s="286" t="s">
        <v>1731</v>
      </c>
      <c r="O827" s="286">
        <v>117</v>
      </c>
      <c r="P827" s="286">
        <v>5.5</v>
      </c>
      <c r="Q827" s="12" t="s">
        <v>1243</v>
      </c>
    </row>
    <row r="828" spans="1:17" ht="12.5">
      <c r="A828" s="60" t="s">
        <v>1209</v>
      </c>
      <c r="B828" s="287" t="str">
        <f>HYPERLINK("https://uva.onlinejudge.org/index.php?option=com_onlinejudge&amp;Itemid=8&amp;page=show_problem&amp;problem=1683","UVA 10742")</f>
        <v>UVA 10742</v>
      </c>
      <c r="C828" s="67"/>
      <c r="D828" s="67"/>
      <c r="E828" s="67"/>
      <c r="F828" s="67"/>
      <c r="G828" s="67"/>
      <c r="H828" s="67"/>
      <c r="I828" s="36">
        <f t="shared" si="3"/>
        <v>0</v>
      </c>
      <c r="J828" s="36"/>
      <c r="K828" s="36"/>
      <c r="L828" s="302"/>
      <c r="M828" s="216" t="str">
        <f>HYPERLINK("https://github.com/abdullaAshraf/Problem-Solving/blob/master/UVA/10742.cpp","Sol")</f>
        <v>Sol</v>
      </c>
      <c r="N828" s="286" t="s">
        <v>1732</v>
      </c>
      <c r="O828" s="286">
        <v>117</v>
      </c>
      <c r="P828" s="286">
        <v>5.5</v>
      </c>
    </row>
    <row r="829" spans="1:17" ht="12.5">
      <c r="A829" s="60" t="s">
        <v>1182</v>
      </c>
      <c r="B829" s="287" t="str">
        <f>HYPERLINK("https://uva.onlinejudge.org/index.php?option=com_onlinejudge&amp;Itemid=8&amp;page=show_problem&amp;problem=1360","UVA 10419")</f>
        <v>UVA 10419</v>
      </c>
      <c r="C829" s="67"/>
      <c r="D829" s="67"/>
      <c r="E829" s="67"/>
      <c r="F829" s="67"/>
      <c r="G829" s="67"/>
      <c r="H829" s="67"/>
      <c r="I829" s="36">
        <f t="shared" si="3"/>
        <v>0</v>
      </c>
      <c r="J829" s="36"/>
      <c r="K829" s="36"/>
      <c r="L829" s="302"/>
      <c r="M829" s="216" t="str">
        <f>HYPERLINK("https://github.com/BRAINOOOO/CompetitiveProgramming/blob/master/UVA/V-104/UVA%2010419.Cpp","Sol")</f>
        <v>Sol</v>
      </c>
      <c r="N829" s="286" t="s">
        <v>1733</v>
      </c>
      <c r="O829" s="286">
        <v>117</v>
      </c>
      <c r="P829" s="286">
        <v>5.5</v>
      </c>
    </row>
    <row r="830" spans="1:17" ht="12.5">
      <c r="A830" s="60" t="s">
        <v>607</v>
      </c>
      <c r="B830" s="287" t="str">
        <f>HYPERLINK("http://codeforces.com/contest/227/problem/C","CF227-D2-C")</f>
        <v>CF227-D2-C</v>
      </c>
      <c r="C830" s="67"/>
      <c r="D830" s="67"/>
      <c r="E830" s="67"/>
      <c r="F830" s="67"/>
      <c r="G830" s="67"/>
      <c r="H830" s="67"/>
      <c r="I830" s="36">
        <f t="shared" si="3"/>
        <v>0</v>
      </c>
      <c r="J830" s="36"/>
      <c r="K830" s="36"/>
      <c r="L830" s="67"/>
      <c r="M830" s="28"/>
      <c r="N830" s="286" t="s">
        <v>1734</v>
      </c>
      <c r="O830" s="286">
        <v>118</v>
      </c>
      <c r="P830" s="286">
        <v>4.5</v>
      </c>
      <c r="Q830" s="12" t="s">
        <v>1245</v>
      </c>
    </row>
    <row r="831" spans="1:17" ht="12.5">
      <c r="A831" s="60" t="s">
        <v>781</v>
      </c>
      <c r="B831" s="287" t="str">
        <f>HYPERLINK("http://codeforces.com/contest/476/problem/C","CF476-D2-C")</f>
        <v>CF476-D2-C</v>
      </c>
      <c r="C831" s="67"/>
      <c r="D831" s="67"/>
      <c r="E831" s="67"/>
      <c r="F831" s="67"/>
      <c r="G831" s="67"/>
      <c r="H831" s="67"/>
      <c r="I831" s="36">
        <f t="shared" si="3"/>
        <v>0</v>
      </c>
      <c r="J831" s="36"/>
      <c r="K831" s="36"/>
      <c r="L831" s="67"/>
      <c r="M831" s="290" t="str">
        <f>HYPERLINK("https://www.youtube.com/watch?v=KS9POnQMfmY","Video Solution - Dr Mostafa Saad")</f>
        <v>Video Solution - Dr Mostafa Saad</v>
      </c>
      <c r="N831" s="286" t="s">
        <v>1735</v>
      </c>
      <c r="O831" s="286">
        <v>118</v>
      </c>
      <c r="P831" s="286">
        <v>5</v>
      </c>
      <c r="Q831" s="12" t="s">
        <v>1245</v>
      </c>
    </row>
    <row r="832" spans="1:17" ht="12.5">
      <c r="A832" s="60"/>
      <c r="B832" s="287" t="str">
        <f>HYPERLINK("http://codeforces.com/contest/201/problem/B","CF201-D1-B")</f>
        <v>CF201-D1-B</v>
      </c>
      <c r="C832" s="67"/>
      <c r="D832" s="67"/>
      <c r="E832" s="67"/>
      <c r="F832" s="67"/>
      <c r="G832" s="67"/>
      <c r="H832" s="67"/>
      <c r="I832" s="36">
        <f t="shared" si="3"/>
        <v>0</v>
      </c>
      <c r="J832" s="36"/>
      <c r="K832" s="36"/>
      <c r="L832" s="67"/>
      <c r="M832" s="60"/>
      <c r="N832" s="286" t="s">
        <v>1736</v>
      </c>
      <c r="O832" s="286">
        <v>118</v>
      </c>
      <c r="P832" s="286">
        <v>5</v>
      </c>
      <c r="Q832" s="12" t="s">
        <v>1243</v>
      </c>
    </row>
    <row r="833" spans="1:17" ht="12.5">
      <c r="A833" s="60" t="s">
        <v>1202</v>
      </c>
      <c r="B833" s="287" t="str">
        <f>HYPERLINK("http://codeforces.com/contest/599/problem/D","CF599-D2-D")</f>
        <v>CF599-D2-D</v>
      </c>
      <c r="C833" s="67"/>
      <c r="D833" s="67"/>
      <c r="E833" s="67"/>
      <c r="F833" s="67"/>
      <c r="G833" s="67"/>
      <c r="H833" s="67"/>
      <c r="I833" s="36">
        <f t="shared" si="3"/>
        <v>0</v>
      </c>
      <c r="J833" s="67"/>
      <c r="K833" s="67"/>
      <c r="L833" s="302"/>
      <c r="M833" s="191"/>
      <c r="N833" s="286" t="s">
        <v>1737</v>
      </c>
      <c r="O833" s="286">
        <v>118</v>
      </c>
      <c r="P833" s="286">
        <v>6</v>
      </c>
      <c r="Q833" s="12" t="s">
        <v>1243</v>
      </c>
    </row>
    <row r="834" spans="1:17" ht="37.5">
      <c r="A834" s="60" t="s">
        <v>1183</v>
      </c>
      <c r="B834" s="287" t="str">
        <f>HYPERLINK("http://www.spoj.com/problems/HISTOGRA/","SPOJ HISTOGRA")</f>
        <v>SPOJ HISTOGRA</v>
      </c>
      <c r="C834" s="67"/>
      <c r="D834" s="67"/>
      <c r="E834" s="67"/>
      <c r="F834" s="67"/>
      <c r="G834" s="67"/>
      <c r="H834" s="67"/>
      <c r="I834" s="36">
        <f t="shared" si="3"/>
        <v>0</v>
      </c>
      <c r="J834" s="36"/>
      <c r="K834" s="36"/>
      <c r="L834" s="302"/>
      <c r="M834" s="216" t="str">
        <f>HYPERLINK("https://github.com/mostafa-saad/MyCompetitiveProgramming/blob/master/SPOJ/SPOJ_HISTOGRA.txt","Sol. Don't implement as adhock/greedy/Pure STL. Use a data structure.")</f>
        <v>Sol. Don't implement as adhock/greedy/Pure STL. Use a data structure.</v>
      </c>
      <c r="N834" s="286" t="s">
        <v>1738</v>
      </c>
      <c r="O834" s="286">
        <v>122</v>
      </c>
      <c r="P834" s="286">
        <v>4.5</v>
      </c>
      <c r="Q834" s="12" t="s">
        <v>1270</v>
      </c>
    </row>
    <row r="835" spans="1:17" ht="12.5">
      <c r="A835" s="60" t="s">
        <v>901</v>
      </c>
      <c r="B835" s="287" t="str">
        <f>HYPERLINK("http://codeforces.com/problemset/problem/514/D","CF514-D2-D")</f>
        <v>CF514-D2-D</v>
      </c>
      <c r="C835" s="67"/>
      <c r="D835" s="67"/>
      <c r="E835" s="67"/>
      <c r="F835" s="67"/>
      <c r="G835" s="67"/>
      <c r="H835" s="67"/>
      <c r="I835" s="36">
        <f t="shared" si="3"/>
        <v>0</v>
      </c>
      <c r="J835" s="302"/>
      <c r="K835" s="302"/>
      <c r="L835" s="67"/>
      <c r="M835" s="286" t="s">
        <v>902</v>
      </c>
      <c r="N835" s="286" t="s">
        <v>1739</v>
      </c>
      <c r="O835" s="286">
        <v>122</v>
      </c>
      <c r="P835" s="286">
        <v>5</v>
      </c>
      <c r="Q835" s="12" t="s">
        <v>1245</v>
      </c>
    </row>
    <row r="836" spans="1:17" ht="12.5">
      <c r="A836" s="60" t="s">
        <v>1034</v>
      </c>
      <c r="B836" s="287" t="str">
        <f>HYPERLINK("http://codeforces.com/contest/689/problem/D","CF689-D2-D")</f>
        <v>CF689-D2-D</v>
      </c>
      <c r="C836" s="67"/>
      <c r="D836" s="67"/>
      <c r="E836" s="67"/>
      <c r="F836" s="67"/>
      <c r="G836" s="67"/>
      <c r="H836" s="67"/>
      <c r="I836" s="36">
        <f t="shared" si="3"/>
        <v>0</v>
      </c>
      <c r="J836" s="67"/>
      <c r="K836" s="67"/>
      <c r="L836" s="302"/>
      <c r="M836" s="286"/>
      <c r="N836" s="286" t="s">
        <v>1740</v>
      </c>
      <c r="O836" s="286">
        <v>122</v>
      </c>
      <c r="P836" s="286">
        <v>5</v>
      </c>
      <c r="Q836" s="12" t="s">
        <v>1245</v>
      </c>
    </row>
    <row r="837" spans="1:17" ht="12.5">
      <c r="A837" s="60" t="s">
        <v>1191</v>
      </c>
      <c r="B837" s="287" t="str">
        <f>HYPERLINK("http://codeforces.com/contest/359/problem/D","CF359-D2-D")</f>
        <v>CF359-D2-D</v>
      </c>
      <c r="C837" s="67"/>
      <c r="D837" s="67"/>
      <c r="E837" s="67"/>
      <c r="F837" s="67"/>
      <c r="G837" s="67"/>
      <c r="H837" s="67"/>
      <c r="I837" s="36">
        <f t="shared" si="3"/>
        <v>0</v>
      </c>
      <c r="J837" s="67"/>
      <c r="K837" s="67"/>
      <c r="L837" s="302"/>
      <c r="M837" s="216" t="str">
        <f>HYPERLINK("https://github.com/osamahatem/CompetitiveProgramming/blob/master/Codeforces/359D.%20Pair%20of%20Numbers.cpp","Sol")</f>
        <v>Sol</v>
      </c>
      <c r="N837" s="286" t="s">
        <v>1741</v>
      </c>
      <c r="O837" s="286">
        <v>122</v>
      </c>
      <c r="P837" s="286">
        <v>5.5</v>
      </c>
      <c r="Q837" s="12" t="s">
        <v>1243</v>
      </c>
    </row>
    <row r="838" spans="1:17" ht="12.5">
      <c r="A838" s="60" t="s">
        <v>1207</v>
      </c>
      <c r="B838" s="287" t="str">
        <f>HYPERLINK("http://codeforces.com/contest/895/problem/C","CF448-D2-C")</f>
        <v>CF448-D2-C</v>
      </c>
      <c r="C838" s="67"/>
      <c r="D838" s="67"/>
      <c r="E838" s="67"/>
      <c r="F838" s="67"/>
      <c r="G838" s="67"/>
      <c r="H838" s="67"/>
      <c r="I838" s="36">
        <f t="shared" si="3"/>
        <v>0</v>
      </c>
      <c r="J838" s="67"/>
      <c r="K838" s="67"/>
      <c r="L838" s="302"/>
      <c r="M838" s="191"/>
      <c r="N838" s="286" t="s">
        <v>1742</v>
      </c>
      <c r="O838" s="286">
        <v>123</v>
      </c>
      <c r="P838" s="286">
        <v>4.5</v>
      </c>
    </row>
    <row r="839" spans="1:17" ht="12.5">
      <c r="A839" s="60" t="s">
        <v>893</v>
      </c>
      <c r="B839" s="287" t="str">
        <f>HYPERLINK("https://icpcarchive.ecs.baylor.edu/index.php?option=com_onlinejudge&amp;Itemid=8&amp;page=show_problem&amp;problem=192","LIVEARCHIVE 2191")</f>
        <v>LIVEARCHIVE 2191</v>
      </c>
      <c r="C839" s="67"/>
      <c r="D839" s="67"/>
      <c r="E839" s="67"/>
      <c r="F839" s="67"/>
      <c r="G839" s="67"/>
      <c r="H839" s="67"/>
      <c r="I839" s="36">
        <f t="shared" si="3"/>
        <v>0</v>
      </c>
      <c r="J839" s="36"/>
      <c r="K839" s="36"/>
      <c r="L839" s="67"/>
      <c r="M839" s="60"/>
      <c r="N839" s="286" t="s">
        <v>1743</v>
      </c>
      <c r="O839" s="286">
        <v>125</v>
      </c>
      <c r="P839" s="286">
        <v>2</v>
      </c>
      <c r="Q839" s="12" t="s">
        <v>1245</v>
      </c>
    </row>
    <row r="840" spans="1:17" ht="12.5">
      <c r="A840" s="60" t="s">
        <v>892</v>
      </c>
      <c r="B840" s="287" t="str">
        <f>HYPERLINK("https://uva.onlinejudge.org/index.php?option=com_onlinejudge&amp;Itemid=8&amp;page=show_problem&amp;problem=3977","UVA 12532")</f>
        <v>UVA 12532</v>
      </c>
      <c r="C840" s="67"/>
      <c r="D840" s="67"/>
      <c r="E840" s="67"/>
      <c r="F840" s="67"/>
      <c r="G840" s="67"/>
      <c r="H840" s="67"/>
      <c r="I840" s="36">
        <f t="shared" si="3"/>
        <v>0</v>
      </c>
      <c r="J840" s="36"/>
      <c r="K840" s="36"/>
      <c r="L840" s="67"/>
      <c r="M840" s="60"/>
      <c r="N840" s="286" t="s">
        <v>1744</v>
      </c>
      <c r="O840" s="286">
        <v>125</v>
      </c>
      <c r="P840" s="286">
        <v>2</v>
      </c>
    </row>
    <row r="841" spans="1:17" ht="12.5">
      <c r="A841" s="60" t="s">
        <v>894</v>
      </c>
      <c r="B841" s="287" t="str">
        <f>HYPERLINK("http://www.spoj.com/problems/CDC12_H","SPOJ CDC12_H")</f>
        <v>SPOJ CDC12_H</v>
      </c>
      <c r="C841" s="67"/>
      <c r="D841" s="67"/>
      <c r="E841" s="67"/>
      <c r="F841" s="67"/>
      <c r="G841" s="67"/>
      <c r="H841" s="67"/>
      <c r="I841" s="36">
        <f t="shared" si="3"/>
        <v>0</v>
      </c>
      <c r="J841" s="67"/>
      <c r="K841" s="67"/>
      <c r="L841" s="67"/>
      <c r="M841" s="28"/>
      <c r="N841" s="286" t="s">
        <v>1745</v>
      </c>
      <c r="O841" s="286">
        <v>125</v>
      </c>
      <c r="P841" s="286">
        <v>3.5</v>
      </c>
    </row>
    <row r="842" spans="1:17" ht="12.5">
      <c r="A842" s="60" t="s">
        <v>1210</v>
      </c>
      <c r="B842" s="287" t="str">
        <f>HYPERLINK("http://www.spoj.com/problems/MULTQ3/","SPOJ MULTQ3")</f>
        <v>SPOJ MULTQ3</v>
      </c>
      <c r="C842" s="67"/>
      <c r="D842" s="67"/>
      <c r="E842" s="67"/>
      <c r="F842" s="67"/>
      <c r="G842" s="67"/>
      <c r="H842" s="67"/>
      <c r="I842" s="36">
        <f t="shared" si="3"/>
        <v>0</v>
      </c>
      <c r="J842" s="67"/>
      <c r="K842" s="67"/>
      <c r="L842" s="302"/>
      <c r="M842" s="216" t="str">
        <f>HYPERLINK("https://github.com/BRAINOOOO/CompetitiveProgramming/blob/master/Spoj/SPOJ%20MULTQ3.Cpp","Sol")</f>
        <v>Sol</v>
      </c>
      <c r="N842" s="286" t="s">
        <v>1746</v>
      </c>
      <c r="O842" s="286">
        <v>125</v>
      </c>
      <c r="P842" s="286">
        <v>4</v>
      </c>
      <c r="Q842" s="12" t="s">
        <v>1245</v>
      </c>
    </row>
    <row r="843" spans="1:17" ht="12.5">
      <c r="A843" s="60" t="s">
        <v>896</v>
      </c>
      <c r="B843" s="287" t="str">
        <f>HYPERLINK("http://www.spoj.com/problems/HORRIBLE","SPOJ HORRIBLE")</f>
        <v>SPOJ HORRIBLE</v>
      </c>
      <c r="C843" s="67"/>
      <c r="D843" s="67"/>
      <c r="E843" s="67"/>
      <c r="F843" s="67"/>
      <c r="G843" s="67"/>
      <c r="H843" s="67"/>
      <c r="I843" s="36">
        <f t="shared" si="3"/>
        <v>0</v>
      </c>
      <c r="J843" s="67"/>
      <c r="K843" s="67"/>
      <c r="L843" s="67"/>
      <c r="M843" s="28"/>
      <c r="N843" s="286" t="s">
        <v>1747</v>
      </c>
      <c r="O843" s="286">
        <v>125</v>
      </c>
      <c r="P843" s="286">
        <v>4</v>
      </c>
      <c r="Q843" s="12" t="s">
        <v>1239</v>
      </c>
    </row>
    <row r="844" spans="1:17" ht="12.5">
      <c r="A844" s="60" t="s">
        <v>895</v>
      </c>
      <c r="B844" s="287" t="str">
        <f>HYPERLINK("http://www.spoj.com/problems/CNTPRIME","SPOJ CNTPRIME")</f>
        <v>SPOJ CNTPRIME</v>
      </c>
      <c r="C844" s="67"/>
      <c r="D844" s="67"/>
      <c r="E844" s="67"/>
      <c r="F844" s="67"/>
      <c r="G844" s="67"/>
      <c r="H844" s="67"/>
      <c r="I844" s="36">
        <f t="shared" si="3"/>
        <v>0</v>
      </c>
      <c r="J844" s="67"/>
      <c r="K844" s="67"/>
      <c r="L844" s="67"/>
      <c r="M844" s="28"/>
      <c r="N844" s="286" t="s">
        <v>1748</v>
      </c>
      <c r="O844" s="286">
        <v>125</v>
      </c>
      <c r="P844" s="286">
        <v>4</v>
      </c>
      <c r="Q844" s="12" t="s">
        <v>1239</v>
      </c>
    </row>
    <row r="845" spans="1:17" ht="12.5">
      <c r="A845" s="60" t="s">
        <v>907</v>
      </c>
      <c r="B845" s="287" t="str">
        <f>HYPERLINK("http://www.spoj.com/problems/KGSS/","SPOJ KGSS")</f>
        <v>SPOJ KGSS</v>
      </c>
      <c r="C845" s="67"/>
      <c r="D845" s="67"/>
      <c r="E845" s="67"/>
      <c r="F845" s="67"/>
      <c r="G845" s="67"/>
      <c r="H845" s="67"/>
      <c r="I845" s="36">
        <f t="shared" si="3"/>
        <v>0</v>
      </c>
      <c r="J845" s="36"/>
      <c r="K845" s="36"/>
      <c r="L845" s="67"/>
      <c r="M845" s="60"/>
      <c r="N845" s="286" t="s">
        <v>1749</v>
      </c>
      <c r="O845" s="286">
        <v>125</v>
      </c>
      <c r="P845" s="286">
        <v>4.5</v>
      </c>
      <c r="Q845" s="12" t="s">
        <v>1245</v>
      </c>
    </row>
    <row r="846" spans="1:17" ht="12.5">
      <c r="A846" s="60" t="s">
        <v>899</v>
      </c>
      <c r="B846" s="287" t="str">
        <f>HYPERLINK("http://www.spoj.com/problems/CITY2/","SPOJ CITY2")</f>
        <v>SPOJ CITY2</v>
      </c>
      <c r="C846" s="67"/>
      <c r="D846" s="67"/>
      <c r="E846" s="67"/>
      <c r="F846" s="67"/>
      <c r="G846" s="67"/>
      <c r="H846" s="67"/>
      <c r="I846" s="36">
        <f t="shared" si="3"/>
        <v>0</v>
      </c>
      <c r="J846" s="36"/>
      <c r="K846" s="36"/>
      <c r="L846" s="302"/>
      <c r="M846" s="301" t="str">
        <f>HYPERLINK("https://github.com/mostafa-saad/MyCompetitiveProgramming/blob/master/SPOJ/SPOJ_CITY2.txt","Sol")</f>
        <v>Sol</v>
      </c>
      <c r="N846" s="286" t="s">
        <v>1750</v>
      </c>
      <c r="O846" s="286">
        <v>125</v>
      </c>
      <c r="P846" s="286">
        <v>4.5</v>
      </c>
      <c r="Q846" s="12" t="s">
        <v>1243</v>
      </c>
    </row>
    <row r="847" spans="1:17" ht="12.5">
      <c r="A847" s="60" t="s">
        <v>949</v>
      </c>
      <c r="B847" s="287" t="str">
        <f>HYPERLINK("http://www.spoj.com/problems/HELPR2D2","SPOJ HELPR2D2")</f>
        <v>SPOJ HELPR2D2</v>
      </c>
      <c r="C847" s="67"/>
      <c r="D847" s="67"/>
      <c r="E847" s="67"/>
      <c r="F847" s="67"/>
      <c r="G847" s="67"/>
      <c r="H847" s="67"/>
      <c r="I847" s="36">
        <f t="shared" si="3"/>
        <v>0</v>
      </c>
      <c r="J847" s="67"/>
      <c r="K847" s="67"/>
      <c r="L847" s="67"/>
      <c r="M847" s="191"/>
      <c r="N847" s="286" t="s">
        <v>1751</v>
      </c>
      <c r="O847" s="286">
        <v>125</v>
      </c>
      <c r="P847" s="286">
        <v>4.5</v>
      </c>
      <c r="Q847" s="12" t="s">
        <v>1243</v>
      </c>
    </row>
    <row r="848" spans="1:17" ht="12.5">
      <c r="A848" s="60" t="s">
        <v>897</v>
      </c>
      <c r="B848" s="287" t="str">
        <f>HYPERLINK("http://www.spoj.com/problems/LITE/","SPOJ LITE")</f>
        <v>SPOJ LITE</v>
      </c>
      <c r="C848" s="67"/>
      <c r="D848" s="67"/>
      <c r="E848" s="67"/>
      <c r="F848" s="67"/>
      <c r="G848" s="67"/>
      <c r="H848" s="67"/>
      <c r="I848" s="36">
        <f t="shared" si="3"/>
        <v>0</v>
      </c>
      <c r="J848" s="36"/>
      <c r="K848" s="36"/>
      <c r="L848" s="67"/>
      <c r="M848" s="60"/>
      <c r="N848" s="286" t="s">
        <v>1752</v>
      </c>
      <c r="O848" s="286">
        <v>125</v>
      </c>
      <c r="P848" s="286">
        <v>4.5</v>
      </c>
      <c r="Q848" s="12" t="s">
        <v>1239</v>
      </c>
    </row>
    <row r="849" spans="1:17" ht="12.5">
      <c r="A849" s="60" t="s">
        <v>898</v>
      </c>
      <c r="B849" s="287" t="str">
        <f>HYPERLINK("http://codeforces.com/contest/52/problem/C","CF52-D12-C")</f>
        <v>CF52-D12-C</v>
      </c>
      <c r="C849" s="67"/>
      <c r="D849" s="67"/>
      <c r="E849" s="67"/>
      <c r="F849" s="67"/>
      <c r="G849" s="67"/>
      <c r="H849" s="67"/>
      <c r="I849" s="36">
        <f t="shared" si="3"/>
        <v>0</v>
      </c>
      <c r="J849" s="67"/>
      <c r="K849" s="67"/>
      <c r="L849" s="67"/>
      <c r="M849" s="286"/>
      <c r="N849" s="286" t="s">
        <v>1753</v>
      </c>
      <c r="O849" s="286">
        <v>125</v>
      </c>
      <c r="P849" s="286">
        <v>4.5</v>
      </c>
    </row>
    <row r="850" spans="1:17" ht="12.5">
      <c r="A850" s="60" t="s">
        <v>904</v>
      </c>
      <c r="B850" s="287" t="str">
        <f>HYPERLINK("http://www.spoj.com/problems/BRCKTS","SPOJ BRCKTS")</f>
        <v>SPOJ BRCKTS</v>
      </c>
      <c r="C850" s="67"/>
      <c r="D850" s="67"/>
      <c r="E850" s="67"/>
      <c r="F850" s="67"/>
      <c r="G850" s="67"/>
      <c r="H850" s="67"/>
      <c r="I850" s="36">
        <f t="shared" si="3"/>
        <v>0</v>
      </c>
      <c r="J850" s="67"/>
      <c r="K850" s="67"/>
      <c r="L850" s="67"/>
      <c r="M850" s="301" t="str">
        <f>HYPERLINK("https://github.com/AliOsm/CompetitiveProgramming/blob/master/SPOJ/BRCKTS%20-%20Brackets.cpp","Sol")</f>
        <v>Sol</v>
      </c>
      <c r="N850" s="286" t="s">
        <v>1754</v>
      </c>
      <c r="O850" s="286">
        <v>125</v>
      </c>
      <c r="P850" s="286">
        <v>5</v>
      </c>
      <c r="Q850" s="12" t="s">
        <v>1245</v>
      </c>
    </row>
    <row r="851" spans="1:17" ht="12.5">
      <c r="A851" s="60" t="s">
        <v>926</v>
      </c>
      <c r="B851" s="287" t="str">
        <f>HYPERLINK("http://www.spoj.com/problems/GSS1/","SPOJ GSS1")</f>
        <v>SPOJ GSS1</v>
      </c>
      <c r="C851" s="67"/>
      <c r="D851" s="67"/>
      <c r="E851" s="67"/>
      <c r="F851" s="67"/>
      <c r="G851" s="67"/>
      <c r="H851" s="67"/>
      <c r="I851" s="36">
        <f t="shared" si="3"/>
        <v>0</v>
      </c>
      <c r="J851" s="67"/>
      <c r="K851" s="67"/>
      <c r="L851" s="310"/>
      <c r="M851" s="216" t="str">
        <f>HYPERLINK("https://github.com/AliOsm/CompetitiveProgramming/blob/master/SPOJ/GSS1%20-%20Can%20you%20answer%20these%20queries%20I.cpp","Sol")</f>
        <v>Sol</v>
      </c>
      <c r="N851" s="286" t="s">
        <v>1755</v>
      </c>
      <c r="O851" s="286">
        <v>125</v>
      </c>
      <c r="P851" s="286">
        <v>5</v>
      </c>
      <c r="Q851" s="12" t="s">
        <v>1245</v>
      </c>
    </row>
    <row r="852" spans="1:17" ht="12.5">
      <c r="A852" s="60" t="s">
        <v>900</v>
      </c>
      <c r="B852" s="287" t="str">
        <f>HYPERLINK("https://uva.onlinejudge.org/index.php?option=com_onlinejudge&amp;Itemid=8&amp;page=show_problem&amp;problem=3720","UVA 12299")</f>
        <v>UVA 12299</v>
      </c>
      <c r="C852" s="67"/>
      <c r="D852" s="67"/>
      <c r="E852" s="67"/>
      <c r="F852" s="67"/>
      <c r="G852" s="67"/>
      <c r="H852" s="67"/>
      <c r="I852" s="36">
        <f t="shared" si="3"/>
        <v>0</v>
      </c>
      <c r="J852" s="36"/>
      <c r="K852" s="36"/>
      <c r="L852" s="302"/>
      <c r="M852" s="301" t="str">
        <f>HYPERLINK("https://github.com/Emsawy/CompetitiveProgramming/blob/master/UVA/12299.cpp","See sscanf and sprintf usage")</f>
        <v>See sscanf and sprintf usage</v>
      </c>
      <c r="N852" s="286" t="s">
        <v>1756</v>
      </c>
      <c r="O852" s="286">
        <v>125</v>
      </c>
      <c r="P852" s="286">
        <v>5</v>
      </c>
      <c r="Q852" s="12" t="s">
        <v>1245</v>
      </c>
    </row>
    <row r="853" spans="1:17" ht="12.5">
      <c r="A853" s="60" t="s">
        <v>1161</v>
      </c>
      <c r="B853" s="287" t="str">
        <f>HYPERLINK("http://www.spoj.com/problems/ANDROUND","SPOJ ANDROUND")</f>
        <v>SPOJ ANDROUND</v>
      </c>
      <c r="C853" s="67"/>
      <c r="D853" s="67"/>
      <c r="E853" s="67"/>
      <c r="F853" s="67"/>
      <c r="G853" s="67"/>
      <c r="H853" s="67"/>
      <c r="I853" s="36">
        <f t="shared" si="3"/>
        <v>0</v>
      </c>
      <c r="J853" s="36"/>
      <c r="K853" s="36"/>
      <c r="L853" s="302"/>
      <c r="M853" s="216" t="str">
        <f>HYPERLINK("https://github.com/AliOsm/CompetitiveProgramming/blob/master/SPOJ/ANDROUND%20-%20AND%20Rounds.cpp","Sol")</f>
        <v>Sol</v>
      </c>
      <c r="N853" s="286" t="s">
        <v>1745</v>
      </c>
      <c r="O853" s="286">
        <v>125</v>
      </c>
      <c r="P853" s="286">
        <v>5</v>
      </c>
      <c r="Q853" s="12" t="s">
        <v>1243</v>
      </c>
    </row>
    <row r="854" spans="1:17" ht="12.5">
      <c r="A854" s="60" t="s">
        <v>903</v>
      </c>
      <c r="B854" s="287" t="str">
        <f>HYPERLINK("https://uva.onlinejudge.org/index.php?option=com_onlinejudge&amp;Itemid=8&amp;page=show_problem&amp;problem=2397","UVA 11402")</f>
        <v>UVA 11402</v>
      </c>
      <c r="C854" s="67"/>
      <c r="D854" s="67"/>
      <c r="E854" s="67"/>
      <c r="F854" s="67"/>
      <c r="G854" s="67"/>
      <c r="H854" s="67"/>
      <c r="I854" s="36">
        <f t="shared" si="3"/>
        <v>0</v>
      </c>
      <c r="J854" s="67"/>
      <c r="K854" s="67"/>
      <c r="L854" s="67"/>
      <c r="M854" s="301" t="str">
        <f>HYPERLINK("https://github.com/hosamk92/CompetitiveProgramming/blob/master/UVA/UVA%2011402.cpp","Sol")</f>
        <v>Sol</v>
      </c>
      <c r="N854" s="286" t="s">
        <v>1757</v>
      </c>
      <c r="O854" s="286">
        <v>125</v>
      </c>
      <c r="P854" s="286">
        <v>5</v>
      </c>
      <c r="Q854" s="12" t="s">
        <v>1243</v>
      </c>
    </row>
    <row r="855" spans="1:17" ht="12.5">
      <c r="A855" s="60" t="s">
        <v>905</v>
      </c>
      <c r="B855" s="287" t="str">
        <f>HYPERLINK("http://codeforces.com/contest/460/problem/C","CF460-D2-C")</f>
        <v>CF460-D2-C</v>
      </c>
      <c r="C855" s="67"/>
      <c r="D855" s="67"/>
      <c r="E855" s="67"/>
      <c r="F855" s="67"/>
      <c r="G855" s="67"/>
      <c r="H855" s="67"/>
      <c r="I855" s="36">
        <f t="shared" si="3"/>
        <v>0</v>
      </c>
      <c r="J855" s="67"/>
      <c r="K855" s="67"/>
      <c r="L855" s="67"/>
      <c r="M855" s="286"/>
      <c r="N855" s="286" t="s">
        <v>1758</v>
      </c>
      <c r="O855" s="286">
        <v>125</v>
      </c>
      <c r="P855" s="286">
        <v>5</v>
      </c>
      <c r="Q855" s="12" t="s">
        <v>1243</v>
      </c>
    </row>
    <row r="856" spans="1:17" ht="12.5">
      <c r="A856" s="60" t="s">
        <v>1093</v>
      </c>
      <c r="B856" s="287" t="str">
        <f>HYPERLINK("http://poj.org/problem?id=2374","PKU 2374")</f>
        <v>PKU 2374</v>
      </c>
      <c r="C856" s="67"/>
      <c r="D856" s="67"/>
      <c r="E856" s="67"/>
      <c r="F856" s="67"/>
      <c r="G856" s="67"/>
      <c r="H856" s="67"/>
      <c r="I856" s="36">
        <f t="shared" si="3"/>
        <v>0</v>
      </c>
      <c r="J856" s="67"/>
      <c r="K856" s="67"/>
      <c r="L856" s="302"/>
      <c r="M856" s="301" t="str">
        <f>HYPERLINK("https://github.com/mostafa-saad/MyCompetitiveProgramming/blob/master/PKU/PKU_2374.txt","Sol")</f>
        <v>Sol</v>
      </c>
      <c r="N856" s="286" t="s">
        <v>1759</v>
      </c>
      <c r="O856" s="286">
        <v>125</v>
      </c>
      <c r="P856" s="286">
        <v>5</v>
      </c>
      <c r="Q856" s="12" t="s">
        <v>1239</v>
      </c>
    </row>
    <row r="857" spans="1:17" ht="13">
      <c r="A857" s="60"/>
      <c r="B857" s="287" t="str">
        <f>HYPERLINK("https://codeforces.com/problemset/problem/61/E","CF61-D2-E")</f>
        <v>CF61-D2-E</v>
      </c>
      <c r="C857" s="67"/>
      <c r="D857" s="67"/>
      <c r="E857" s="67"/>
      <c r="F857" s="67"/>
      <c r="G857" s="67"/>
      <c r="H857" s="67"/>
      <c r="I857" s="36">
        <f t="shared" si="3"/>
        <v>0</v>
      </c>
      <c r="J857" s="36"/>
      <c r="K857" s="36"/>
      <c r="L857" s="67"/>
      <c r="M857" s="314"/>
      <c r="N857" s="286" t="s">
        <v>1760</v>
      </c>
      <c r="O857" s="286">
        <v>125</v>
      </c>
      <c r="P857" s="286">
        <v>5</v>
      </c>
      <c r="Q857" s="12" t="s">
        <v>1239</v>
      </c>
    </row>
    <row r="858" spans="1:17" ht="12.5">
      <c r="A858" s="60" t="s">
        <v>927</v>
      </c>
      <c r="B858" s="287" t="str">
        <f>HYPERLINK("http://www.spoj.com/problems/GSS3/","SPOJ GSS3")</f>
        <v>SPOJ GSS3</v>
      </c>
      <c r="C858" s="67"/>
      <c r="D858" s="67"/>
      <c r="E858" s="67"/>
      <c r="F858" s="67"/>
      <c r="G858" s="67"/>
      <c r="H858" s="67"/>
      <c r="I858" s="36">
        <f t="shared" si="3"/>
        <v>0</v>
      </c>
      <c r="J858" s="67"/>
      <c r="K858" s="67"/>
      <c r="L858" s="67"/>
      <c r="M858" s="191"/>
      <c r="N858" s="286" t="s">
        <v>1761</v>
      </c>
      <c r="O858" s="286">
        <v>125</v>
      </c>
      <c r="P858" s="286">
        <v>5.5</v>
      </c>
      <c r="Q858" s="12" t="s">
        <v>1248</v>
      </c>
    </row>
    <row r="859" spans="1:17" ht="12.5">
      <c r="A859" s="60" t="s">
        <v>1035</v>
      </c>
      <c r="B859" s="287" t="str">
        <f>HYPERLINK("http://www.spoj.com/problems/SEGSQRSS","SPOJ SEGSQRSS")</f>
        <v>SPOJ SEGSQRSS</v>
      </c>
      <c r="C859" s="67"/>
      <c r="D859" s="67"/>
      <c r="E859" s="67"/>
      <c r="F859" s="67"/>
      <c r="G859" s="67"/>
      <c r="H859" s="67"/>
      <c r="I859" s="36">
        <f t="shared" si="3"/>
        <v>0</v>
      </c>
      <c r="J859" s="36"/>
      <c r="K859" s="36"/>
      <c r="L859" s="302"/>
      <c r="M859" s="301" t="str">
        <f>HYPERLINK("https://github.com/MichaelMounir12/CompetitiveProgramming/blob/9c6e99fc3a2583209a313ddd617a07ac294024e9/SPOJ/SPOJ_SEGSQRSS.cpp","Sol")</f>
        <v>Sol</v>
      </c>
      <c r="N859" s="286" t="s">
        <v>1762</v>
      </c>
      <c r="O859" s="286">
        <v>125</v>
      </c>
      <c r="P859" s="286">
        <v>5.5</v>
      </c>
      <c r="Q859" s="12" t="s">
        <v>1270</v>
      </c>
    </row>
    <row r="860" spans="1:17" ht="12.5">
      <c r="A860" s="60"/>
      <c r="B860" s="287" t="str">
        <f>HYPERLINK("http://codeforces.com/contest/380/problem/C","CF380-D1-C")</f>
        <v>CF380-D1-C</v>
      </c>
      <c r="C860" s="67"/>
      <c r="D860" s="67"/>
      <c r="E860" s="67"/>
      <c r="F860" s="67"/>
      <c r="G860" s="67"/>
      <c r="H860" s="67"/>
      <c r="I860" s="36">
        <f t="shared" si="3"/>
        <v>0</v>
      </c>
      <c r="J860" s="36"/>
      <c r="K860" s="36"/>
      <c r="L860" s="67"/>
      <c r="M860" s="60"/>
      <c r="N860" s="286" t="s">
        <v>1763</v>
      </c>
      <c r="O860" s="286">
        <v>125</v>
      </c>
      <c r="P860" s="286">
        <v>5.5</v>
      </c>
      <c r="Q860" s="12" t="s">
        <v>1245</v>
      </c>
    </row>
    <row r="861" spans="1:17" ht="12.5">
      <c r="A861" s="60" t="s">
        <v>1215</v>
      </c>
      <c r="B861" s="287" t="str">
        <f>HYPERLINK("http://www.spoj.com/problems/GSS4","SPOJ GSS4")</f>
        <v>SPOJ GSS4</v>
      </c>
      <c r="C861" s="67"/>
      <c r="D861" s="67"/>
      <c r="E861" s="67"/>
      <c r="F861" s="67"/>
      <c r="G861" s="67"/>
      <c r="H861" s="67"/>
      <c r="I861" s="36">
        <f t="shared" si="3"/>
        <v>0</v>
      </c>
      <c r="J861" s="36"/>
      <c r="K861" s="36"/>
      <c r="L861" s="302"/>
      <c r="M861" s="301" t="str">
        <f>HYPERLINK("https://github.com/abdullaAshraf/Problem-Solving/blob/master/SPOJ/GSS4.cpp","Sol")</f>
        <v>Sol</v>
      </c>
      <c r="N861" s="286" t="s">
        <v>1764</v>
      </c>
      <c r="O861" s="286">
        <v>125</v>
      </c>
      <c r="P861" s="286">
        <v>5.5</v>
      </c>
      <c r="Q861" s="12" t="s">
        <v>1243</v>
      </c>
    </row>
    <row r="862" spans="1:17" ht="12.5">
      <c r="A862" s="60" t="s">
        <v>1017</v>
      </c>
      <c r="B862" s="287" t="str">
        <f>HYPERLINK("https://uva.onlinejudge.org/index.php?option=com_onlinejudge&amp;Itemid=8&amp;page=show_problem&amp;problem=3673","UVA 1232")</f>
        <v>UVA 1232</v>
      </c>
      <c r="C862" s="67"/>
      <c r="D862" s="67"/>
      <c r="E862" s="67"/>
      <c r="F862" s="67"/>
      <c r="G862" s="67"/>
      <c r="H862" s="67"/>
      <c r="I862" s="36">
        <f t="shared" si="3"/>
        <v>0</v>
      </c>
      <c r="J862" s="67"/>
      <c r="K862" s="67"/>
      <c r="L862" s="302"/>
      <c r="M862" s="301" t="str">
        <f>HYPERLINK("https://github.com/mostafa-saad/MyCompetitiveProgramming/blob/master/UVA/UVA_1232.txt","Sol")</f>
        <v>Sol</v>
      </c>
      <c r="N862" s="286" t="s">
        <v>1765</v>
      </c>
      <c r="O862" s="286">
        <v>125</v>
      </c>
      <c r="P862" s="286">
        <v>5.5</v>
      </c>
    </row>
    <row r="863" spans="1:17" ht="12.5">
      <c r="A863" s="60" t="s">
        <v>1018</v>
      </c>
      <c r="B863" s="287" t="str">
        <f>HYPERLINK("http://www.spoj.com/problems/ORDERS/","SPOJ ORDERS")</f>
        <v>SPOJ ORDERS</v>
      </c>
      <c r="C863" s="67"/>
      <c r="D863" s="67"/>
      <c r="E863" s="67"/>
      <c r="F863" s="67"/>
      <c r="G863" s="67"/>
      <c r="H863" s="67"/>
      <c r="I863" s="36">
        <f t="shared" si="3"/>
        <v>0</v>
      </c>
      <c r="J863" s="67"/>
      <c r="K863" s="67"/>
      <c r="L863" s="302"/>
      <c r="M863" s="301" t="str">
        <f>HYPERLINK("https://github.com/mostafa-saad/MyCompetitiveProgramming/blob/master/SPOJ/SPOJ_ORDERS.txt","Sol")</f>
        <v>Sol</v>
      </c>
      <c r="N863" s="286" t="s">
        <v>1766</v>
      </c>
      <c r="O863" s="286">
        <v>125</v>
      </c>
      <c r="P863" s="286">
        <v>5.75</v>
      </c>
      <c r="Q863" s="12" t="s">
        <v>1245</v>
      </c>
    </row>
    <row r="864" spans="1:17" ht="12.5">
      <c r="A864" s="60"/>
      <c r="B864" s="60" t="s">
        <v>1197</v>
      </c>
      <c r="C864" s="67"/>
      <c r="D864" s="67"/>
      <c r="E864" s="67"/>
      <c r="F864" s="67"/>
      <c r="G864" s="67"/>
      <c r="H864" s="67"/>
      <c r="I864" s="36">
        <f t="shared" si="3"/>
        <v>0</v>
      </c>
      <c r="J864" s="67"/>
      <c r="K864" s="67"/>
      <c r="L864" s="67"/>
      <c r="M864" s="216" t="str">
        <f>HYPERLINK("https://github.com/mostafa-saad/MyCompetitiveProgramming/blob/master/SPOJ/SPOJ_IOPC1207.txt","Sol")</f>
        <v>Sol</v>
      </c>
      <c r="N864" s="286" t="s">
        <v>1767</v>
      </c>
      <c r="O864" s="286">
        <v>125</v>
      </c>
      <c r="P864" s="286">
        <v>6</v>
      </c>
      <c r="Q864" s="12" t="s">
        <v>1245</v>
      </c>
    </row>
    <row r="865" spans="1:17" ht="12.5">
      <c r="A865" s="60"/>
      <c r="B865" s="60" t="s">
        <v>1024</v>
      </c>
      <c r="C865" s="67"/>
      <c r="D865" s="67"/>
      <c r="E865" s="67"/>
      <c r="F865" s="67"/>
      <c r="G865" s="67"/>
      <c r="H865" s="67"/>
      <c r="I865" s="36">
        <f t="shared" si="3"/>
        <v>0</v>
      </c>
      <c r="J865" s="36"/>
      <c r="K865" s="36"/>
      <c r="L865" s="67"/>
      <c r="M865" s="216" t="str">
        <f>HYPERLINK("https://github.com/MedoN11/CompetitiveProgramming/blob/master/SPOJ/BRCKTS2.cpp","Sol")</f>
        <v>Sol</v>
      </c>
      <c r="N865" s="286" t="s">
        <v>1768</v>
      </c>
      <c r="O865" s="286">
        <v>125</v>
      </c>
      <c r="P865" s="286">
        <v>6</v>
      </c>
      <c r="Q865" s="12" t="s">
        <v>1245</v>
      </c>
    </row>
    <row r="866" spans="1:17" ht="12.5">
      <c r="A866" s="60" t="s">
        <v>426</v>
      </c>
      <c r="B866" s="60" t="s">
        <v>427</v>
      </c>
      <c r="C866" s="67"/>
      <c r="D866" s="67"/>
      <c r="E866" s="67"/>
      <c r="F866" s="67"/>
      <c r="G866" s="67"/>
      <c r="H866" s="67"/>
      <c r="I866" s="36">
        <f t="shared" si="3"/>
        <v>0</v>
      </c>
      <c r="J866" s="36"/>
      <c r="K866" s="36"/>
      <c r="L866" s="67"/>
      <c r="M866" s="290" t="str">
        <f>HYPERLINK("http://xoptutorials.com/index.php/2017/01/01/timus1638/","Can you get AC first submission")</f>
        <v>Can you get AC first submission</v>
      </c>
      <c r="N866" s="286" t="s">
        <v>1769</v>
      </c>
      <c r="O866" s="286">
        <v>126</v>
      </c>
      <c r="P866" s="286">
        <v>2</v>
      </c>
      <c r="Q866" s="12" t="s">
        <v>1243</v>
      </c>
    </row>
    <row r="867" spans="1:17" ht="12.5">
      <c r="A867" s="60" t="s">
        <v>410</v>
      </c>
      <c r="B867" s="287" t="str">
        <f>HYPERLINK("http://acm.timus.ru/problem.aspx?space=1&amp;num=1607","TIMUS 1607")</f>
        <v>TIMUS 1607</v>
      </c>
      <c r="C867" s="67"/>
      <c r="D867" s="67"/>
      <c r="E867" s="67"/>
      <c r="F867" s="67"/>
      <c r="G867" s="67"/>
      <c r="H867" s="67"/>
      <c r="I867" s="36">
        <f t="shared" si="3"/>
        <v>0</v>
      </c>
      <c r="J867" s="36"/>
      <c r="K867" s="36"/>
      <c r="L867" s="36"/>
      <c r="M867" s="54" t="str">
        <f>HYPERLINK("http://xoptutorials.com/index.php/2017/01/01/timus1607/","Can you get AC first submission?")</f>
        <v>Can you get AC first submission?</v>
      </c>
      <c r="N867" s="286" t="s">
        <v>1770</v>
      </c>
      <c r="O867" s="286">
        <v>126</v>
      </c>
      <c r="P867" s="286">
        <v>2</v>
      </c>
      <c r="Q867" s="12" t="s">
        <v>1239</v>
      </c>
    </row>
    <row r="868" spans="1:17" ht="12.5">
      <c r="A868" s="60" t="s">
        <v>631</v>
      </c>
      <c r="B868" s="287" t="str">
        <f>HYPERLINK("https://uva.onlinejudge.org/index.php?option=com_onlinejudge&amp;Itemid=8&amp;page=show_problem&amp;problem=37","UVA 101")</f>
        <v>UVA 101</v>
      </c>
      <c r="C868" s="67"/>
      <c r="D868" s="67"/>
      <c r="E868" s="67"/>
      <c r="F868" s="67"/>
      <c r="G868" s="67"/>
      <c r="H868" s="67"/>
      <c r="I868" s="36">
        <f t="shared" si="3"/>
        <v>0</v>
      </c>
      <c r="J868" s="36"/>
      <c r="K868" s="36"/>
      <c r="L868" s="67"/>
      <c r="M868" s="160" t="s">
        <v>632</v>
      </c>
      <c r="N868" s="286" t="s">
        <v>1771</v>
      </c>
      <c r="O868" s="286">
        <v>126</v>
      </c>
      <c r="P868" s="286">
        <v>3</v>
      </c>
    </row>
    <row r="869" spans="1:17" ht="12.5">
      <c r="A869" s="60" t="s">
        <v>989</v>
      </c>
      <c r="B869" s="287" t="str">
        <f>HYPERLINK("http://poj.org/problem?id=3461","PKU 3461")</f>
        <v>PKU 3461</v>
      </c>
      <c r="C869" s="67"/>
      <c r="D869" s="67"/>
      <c r="E869" s="67"/>
      <c r="F869" s="67"/>
      <c r="G869" s="67"/>
      <c r="H869" s="67"/>
      <c r="I869" s="36">
        <f t="shared" si="3"/>
        <v>0</v>
      </c>
      <c r="J869" s="36"/>
      <c r="K869" s="36"/>
      <c r="L869" s="67"/>
      <c r="M869" s="60"/>
      <c r="N869" s="286" t="s">
        <v>1772</v>
      </c>
      <c r="O869" s="286">
        <v>130</v>
      </c>
      <c r="P869" s="286">
        <v>2</v>
      </c>
    </row>
    <row r="870" spans="1:17" ht="12.5">
      <c r="A870" s="60" t="s">
        <v>990</v>
      </c>
      <c r="B870" s="287" t="str">
        <f>HYPERLINK("http://www.spoj.com/problems/NHAY","SPOJ NHAY")</f>
        <v>SPOJ NHAY</v>
      </c>
      <c r="C870" s="67"/>
      <c r="D870" s="67"/>
      <c r="E870" s="67"/>
      <c r="F870" s="67"/>
      <c r="G870" s="67"/>
      <c r="H870" s="67"/>
      <c r="I870" s="36">
        <f t="shared" si="3"/>
        <v>0</v>
      </c>
      <c r="J870" s="36"/>
      <c r="K870" s="36"/>
      <c r="L870" s="67"/>
      <c r="M870" s="60"/>
      <c r="N870" s="286" t="s">
        <v>1773</v>
      </c>
      <c r="O870" s="286">
        <v>130</v>
      </c>
      <c r="P870" s="286">
        <v>3</v>
      </c>
    </row>
    <row r="871" spans="1:17" ht="12.5">
      <c r="A871" s="60" t="s">
        <v>991</v>
      </c>
      <c r="B871" s="287" t="str">
        <f>HYPERLINK("http://www.spoj.com/problems/TESSER/","SPOJ TESSER")</f>
        <v>SPOJ TESSER</v>
      </c>
      <c r="C871" s="67"/>
      <c r="D871" s="67"/>
      <c r="E871" s="67"/>
      <c r="F871" s="67"/>
      <c r="G871" s="67"/>
      <c r="H871" s="67"/>
      <c r="I871" s="36">
        <f t="shared" si="3"/>
        <v>0</v>
      </c>
      <c r="J871" s="36"/>
      <c r="K871" s="36"/>
      <c r="L871" s="67"/>
      <c r="M871" s="60"/>
      <c r="N871" s="286" t="s">
        <v>1774</v>
      </c>
      <c r="O871" s="286">
        <v>130</v>
      </c>
      <c r="P871" s="286">
        <v>4</v>
      </c>
      <c r="Q871" s="12" t="s">
        <v>1270</v>
      </c>
    </row>
    <row r="872" spans="1:17" ht="12.5">
      <c r="A872" s="60" t="s">
        <v>992</v>
      </c>
      <c r="B872" s="287" t="str">
        <f>HYPERLINK("http://www.spoj.com/problems/PERIOD/","SPOJ PERIOD")</f>
        <v>SPOJ PERIOD</v>
      </c>
      <c r="C872" s="67"/>
      <c r="D872" s="67"/>
      <c r="E872" s="67"/>
      <c r="F872" s="67"/>
      <c r="G872" s="67"/>
      <c r="H872" s="67"/>
      <c r="I872" s="36">
        <f t="shared" si="3"/>
        <v>0</v>
      </c>
      <c r="J872" s="36"/>
      <c r="K872" s="36"/>
      <c r="L872" s="302"/>
      <c r="M872" s="60"/>
      <c r="N872" s="286" t="s">
        <v>1775</v>
      </c>
      <c r="O872" s="286">
        <v>130</v>
      </c>
      <c r="P872" s="286">
        <v>4.5</v>
      </c>
      <c r="Q872" s="12" t="s">
        <v>1245</v>
      </c>
    </row>
    <row r="873" spans="1:17" ht="12.5">
      <c r="A873" s="60" t="s">
        <v>993</v>
      </c>
      <c r="B873" s="287" t="str">
        <f>HYPERLINK("http://codeforces.com/contest/432/problem/D","CF432-D2-D")</f>
        <v>CF432-D2-D</v>
      </c>
      <c r="C873" s="67"/>
      <c r="D873" s="67"/>
      <c r="E873" s="67"/>
      <c r="F873" s="67"/>
      <c r="G873" s="67"/>
      <c r="H873" s="67"/>
      <c r="I873" s="36">
        <f t="shared" si="3"/>
        <v>0</v>
      </c>
      <c r="J873" s="36"/>
      <c r="K873" s="36"/>
      <c r="L873" s="67"/>
      <c r="M873" s="60"/>
      <c r="N873" s="286" t="s">
        <v>1776</v>
      </c>
      <c r="O873" s="286">
        <v>130</v>
      </c>
      <c r="P873" s="286">
        <v>5</v>
      </c>
      <c r="Q873" s="12" t="s">
        <v>1245</v>
      </c>
    </row>
    <row r="874" spans="1:17" ht="12.5">
      <c r="A874" s="60" t="s">
        <v>994</v>
      </c>
      <c r="B874" s="287" t="str">
        <f>HYPERLINK("http://codeforces.com/contest/535/problem/D","CF535-D2-D")</f>
        <v>CF535-D2-D</v>
      </c>
      <c r="C874" s="67"/>
      <c r="D874" s="67"/>
      <c r="E874" s="67"/>
      <c r="F874" s="67"/>
      <c r="G874" s="67"/>
      <c r="H874" s="67"/>
      <c r="I874" s="36">
        <f t="shared" si="3"/>
        <v>0</v>
      </c>
      <c r="J874" s="36"/>
      <c r="K874" s="36"/>
      <c r="L874" s="67"/>
      <c r="M874" s="60"/>
      <c r="N874" s="286" t="s">
        <v>1777</v>
      </c>
      <c r="O874" s="286">
        <v>130</v>
      </c>
      <c r="P874" s="286">
        <v>5</v>
      </c>
      <c r="Q874" s="12" t="s">
        <v>1245</v>
      </c>
    </row>
    <row r="875" spans="1:17" ht="12.5">
      <c r="A875" s="60"/>
      <c r="B875" s="287" t="str">
        <f>HYPERLINK("https://codeforces.com/contest/1147/problem/B", "CF1147-D1-B")</f>
        <v>CF1147-D1-B</v>
      </c>
      <c r="C875" s="67"/>
      <c r="D875" s="67"/>
      <c r="E875" s="67"/>
      <c r="F875" s="67"/>
      <c r="G875" s="67"/>
      <c r="H875" s="67"/>
      <c r="I875" s="36">
        <f t="shared" si="3"/>
        <v>0</v>
      </c>
      <c r="J875" s="67"/>
      <c r="K875" s="67"/>
      <c r="L875" s="67"/>
      <c r="M875" s="28"/>
      <c r="N875" s="286" t="s">
        <v>1774</v>
      </c>
      <c r="O875" s="286">
        <v>130</v>
      </c>
      <c r="P875" s="286">
        <v>5.25</v>
      </c>
      <c r="Q875" s="12" t="s">
        <v>1243</v>
      </c>
    </row>
    <row r="876" spans="1:17" ht="12.5">
      <c r="A876" s="60" t="s">
        <v>1219</v>
      </c>
      <c r="B876" s="287" t="str">
        <f>HYPERLINK("http://codeforces.com/contest/631/problem/D","CF631-D2-D")</f>
        <v>CF631-D2-D</v>
      </c>
      <c r="C876" s="67"/>
      <c r="D876" s="67"/>
      <c r="E876" s="67"/>
      <c r="F876" s="67"/>
      <c r="G876" s="67"/>
      <c r="H876" s="67"/>
      <c r="I876" s="36">
        <f t="shared" si="3"/>
        <v>0</v>
      </c>
      <c r="J876" s="67"/>
      <c r="K876" s="67"/>
      <c r="L876" s="67"/>
      <c r="M876" s="28"/>
      <c r="N876" s="286" t="s">
        <v>1774</v>
      </c>
      <c r="O876" s="286">
        <v>130</v>
      </c>
      <c r="P876" s="286">
        <v>5.5</v>
      </c>
      <c r="Q876" s="12" t="s">
        <v>1245</v>
      </c>
    </row>
    <row r="877" spans="1:17" ht="12.5">
      <c r="A877" s="60"/>
      <c r="B877" s="287" t="str">
        <f>HYPERLINK("https://codeforces.com/contest/1138/problem/D","CF1138-D2-D")</f>
        <v>CF1138-D2-D</v>
      </c>
      <c r="C877" s="67"/>
      <c r="D877" s="67"/>
      <c r="E877" s="67"/>
      <c r="F877" s="67"/>
      <c r="G877" s="67"/>
      <c r="H877" s="67"/>
      <c r="I877" s="36">
        <f t="shared" si="3"/>
        <v>0</v>
      </c>
      <c r="J877" s="67"/>
      <c r="K877" s="67"/>
      <c r="L877" s="67"/>
      <c r="M877" s="28"/>
      <c r="N877" s="286" t="s">
        <v>1774</v>
      </c>
      <c r="O877" s="286">
        <v>130</v>
      </c>
      <c r="P877" s="286">
        <v>5.5</v>
      </c>
      <c r="Q877" s="12" t="s">
        <v>1243</v>
      </c>
    </row>
    <row r="878" spans="1:17" ht="12.5">
      <c r="A878" s="60"/>
      <c r="B878" s="287" t="str">
        <f>HYPERLINK("https://www.facebook.com/hackercup/problem/1153996538071503/", "FbHkrCup 18-RQ-C")</f>
        <v>FbHkrCup 18-RQ-C</v>
      </c>
      <c r="C878" s="67"/>
      <c r="D878" s="67"/>
      <c r="E878" s="67"/>
      <c r="F878" s="67"/>
      <c r="G878" s="67"/>
      <c r="H878" s="67"/>
      <c r="I878" s="36">
        <f t="shared" si="3"/>
        <v>0</v>
      </c>
      <c r="J878" s="67"/>
      <c r="K878" s="67"/>
      <c r="L878" s="67"/>
      <c r="M878" s="28"/>
      <c r="N878" s="286" t="s">
        <v>1774</v>
      </c>
      <c r="O878" s="286">
        <v>130</v>
      </c>
      <c r="P878" s="286">
        <v>5.5</v>
      </c>
      <c r="Q878" s="12" t="s">
        <v>1239</v>
      </c>
    </row>
    <row r="879" spans="1:17" ht="12.5">
      <c r="A879" s="60"/>
      <c r="B879" s="60" t="s">
        <v>1141</v>
      </c>
      <c r="C879" s="67"/>
      <c r="D879" s="67"/>
      <c r="E879" s="67"/>
      <c r="F879" s="67"/>
      <c r="G879" s="67"/>
      <c r="H879" s="67"/>
      <c r="I879" s="36">
        <f t="shared" si="3"/>
        <v>0</v>
      </c>
      <c r="J879" s="67"/>
      <c r="K879" s="67"/>
      <c r="L879" s="67"/>
      <c r="M879" s="300" t="str">
        <f>HYPERLINK("https://github.com/Huvok/CompetitiveProgramming/blob/master/UVA/11475.cpp", "Sol")</f>
        <v>Sol</v>
      </c>
      <c r="N879" s="286" t="s">
        <v>1774</v>
      </c>
      <c r="O879" s="286">
        <v>130</v>
      </c>
      <c r="P879" s="286">
        <v>5.5</v>
      </c>
      <c r="Q879" s="12"/>
    </row>
    <row r="880" spans="1:17" ht="12.5">
      <c r="A880" s="60" t="s">
        <v>976</v>
      </c>
      <c r="B880" s="287" t="str">
        <f>HYPERLINK("http://www.spoj.com/problems/PHONELST/","SPOJ PHONELST")</f>
        <v>SPOJ PHONELST</v>
      </c>
      <c r="C880" s="67"/>
      <c r="D880" s="67"/>
      <c r="E880" s="67"/>
      <c r="F880" s="67"/>
      <c r="G880" s="67"/>
      <c r="H880" s="67"/>
      <c r="I880" s="36">
        <f t="shared" si="3"/>
        <v>0</v>
      </c>
      <c r="J880" s="67"/>
      <c r="K880" s="67"/>
      <c r="L880" s="67"/>
      <c r="M880" s="28"/>
      <c r="N880" s="286" t="s">
        <v>1778</v>
      </c>
      <c r="O880" s="286">
        <v>135</v>
      </c>
      <c r="P880" s="286">
        <v>3.5</v>
      </c>
    </row>
    <row r="881" spans="1:17" ht="12.5">
      <c r="A881" s="60" t="s">
        <v>977</v>
      </c>
      <c r="B881" s="287" t="str">
        <f>HYPERLINK("https://uva.onlinejudge.org/index.php?option=com_onlinejudge&amp;Itemid=8&amp;page=show_problem&amp;problem=3971","UVA 12526")</f>
        <v>UVA 12526</v>
      </c>
      <c r="C881" s="67"/>
      <c r="D881" s="67"/>
      <c r="E881" s="67"/>
      <c r="F881" s="67"/>
      <c r="G881" s="67"/>
      <c r="H881" s="67"/>
      <c r="I881" s="36">
        <f t="shared" si="3"/>
        <v>0</v>
      </c>
      <c r="J881" s="67"/>
      <c r="K881" s="67"/>
      <c r="L881" s="67"/>
      <c r="M881" s="28"/>
      <c r="N881" s="286" t="s">
        <v>1778</v>
      </c>
      <c r="O881" s="286">
        <v>135</v>
      </c>
      <c r="P881" s="286">
        <v>4.5</v>
      </c>
      <c r="Q881" s="12" t="s">
        <v>1245</v>
      </c>
    </row>
    <row r="882" spans="1:17" ht="12.5">
      <c r="A882" s="60" t="s">
        <v>975</v>
      </c>
      <c r="B882" s="287" t="str">
        <f>HYPERLINK("https://uva.onlinejudge.org/index.php?option=com_onlinejudge&amp;Itemid=8&amp;page=show_problem&amp;problem=4331","UVA 1556")</f>
        <v>UVA 1556</v>
      </c>
      <c r="C882" s="67"/>
      <c r="D882" s="67"/>
      <c r="E882" s="67"/>
      <c r="F882" s="67"/>
      <c r="G882" s="67"/>
      <c r="H882" s="67"/>
      <c r="I882" s="36">
        <f t="shared" si="3"/>
        <v>0</v>
      </c>
      <c r="J882" s="67"/>
      <c r="K882" s="67"/>
      <c r="L882" s="67"/>
      <c r="M882" s="28"/>
      <c r="N882" s="286" t="s">
        <v>1779</v>
      </c>
      <c r="O882" s="286">
        <v>135</v>
      </c>
      <c r="P882" s="286">
        <v>4.5</v>
      </c>
      <c r="Q882" s="12" t="s">
        <v>1245</v>
      </c>
    </row>
    <row r="883" spans="1:17" ht="12.5">
      <c r="A883" s="60" t="s">
        <v>974</v>
      </c>
      <c r="B883" s="287" t="str">
        <f>HYPERLINK("http://www.spoj.com/problems/DICT/","SPOJ DICT")</f>
        <v>SPOJ DICT</v>
      </c>
      <c r="C883" s="67"/>
      <c r="D883" s="67"/>
      <c r="E883" s="67"/>
      <c r="F883" s="67"/>
      <c r="G883" s="67"/>
      <c r="H883" s="67"/>
      <c r="I883" s="36">
        <f t="shared" si="3"/>
        <v>0</v>
      </c>
      <c r="J883" s="67"/>
      <c r="K883" s="67"/>
      <c r="L883" s="67"/>
      <c r="M883" s="28"/>
      <c r="N883" s="286" t="s">
        <v>1778</v>
      </c>
      <c r="O883" s="286">
        <v>135</v>
      </c>
      <c r="P883" s="286">
        <v>4.5</v>
      </c>
      <c r="Q883" s="12" t="s">
        <v>1243</v>
      </c>
    </row>
    <row r="884" spans="1:17" ht="12.5">
      <c r="A884" s="60" t="s">
        <v>978</v>
      </c>
      <c r="B884" s="287" t="str">
        <f>HYPERLINK("http://codeforces.com/contest/706/problem/D","CF706-D2-D")</f>
        <v>CF706-D2-D</v>
      </c>
      <c r="C884" s="67"/>
      <c r="D884" s="67"/>
      <c r="E884" s="67"/>
      <c r="F884" s="67"/>
      <c r="G884" s="67"/>
      <c r="H884" s="67"/>
      <c r="I884" s="36">
        <f t="shared" si="3"/>
        <v>0</v>
      </c>
      <c r="J884" s="67"/>
      <c r="K884" s="67"/>
      <c r="L884" s="67"/>
      <c r="M884" s="28"/>
      <c r="N884" s="286" t="s">
        <v>1778</v>
      </c>
      <c r="O884" s="286">
        <v>135</v>
      </c>
      <c r="P884" s="286">
        <v>5</v>
      </c>
      <c r="Q884" s="12" t="s">
        <v>1243</v>
      </c>
    </row>
    <row r="885" spans="1:17" ht="12.5">
      <c r="A885" s="60"/>
      <c r="B885" s="60" t="s">
        <v>1001</v>
      </c>
      <c r="C885" s="67"/>
      <c r="D885" s="67"/>
      <c r="E885" s="67"/>
      <c r="F885" s="67"/>
      <c r="G885" s="67"/>
      <c r="H885" s="67"/>
      <c r="I885" s="36">
        <f t="shared" si="3"/>
        <v>0</v>
      </c>
      <c r="J885" s="67"/>
      <c r="K885" s="67"/>
      <c r="L885" s="67"/>
      <c r="M885" s="301" t="str">
        <f>HYPERLINK("https://github.com/ahmed-osama-iv/CompetitiveProgramming/blob/master/LiveArchive/8015.cpp","Sol")</f>
        <v>Sol</v>
      </c>
      <c r="N885" s="286" t="s">
        <v>1778</v>
      </c>
      <c r="O885" s="286">
        <v>135</v>
      </c>
      <c r="P885" s="286">
        <v>5.25</v>
      </c>
      <c r="Q885" s="12" t="s">
        <v>1270</v>
      </c>
    </row>
    <row r="886" spans="1:17" ht="12.5">
      <c r="A886" s="60"/>
      <c r="B886" s="287" t="str">
        <f>HYPERLINK("http://codeforces.com/contest/842/problem/D","CF842-D2-D")</f>
        <v>CF842-D2-D</v>
      </c>
      <c r="C886" s="67"/>
      <c r="D886" s="67"/>
      <c r="E886" s="67"/>
      <c r="F886" s="67"/>
      <c r="G886" s="67"/>
      <c r="H886" s="67"/>
      <c r="I886" s="36">
        <f t="shared" si="3"/>
        <v>0</v>
      </c>
      <c r="J886" s="67"/>
      <c r="K886" s="67"/>
      <c r="L886" s="67"/>
      <c r="M886" s="286"/>
      <c r="N886" s="286" t="s">
        <v>1780</v>
      </c>
      <c r="O886" s="286">
        <v>135</v>
      </c>
      <c r="P886" s="286">
        <v>5.5</v>
      </c>
      <c r="Q886" s="12" t="s">
        <v>1245</v>
      </c>
    </row>
    <row r="887" spans="1:17" ht="12.5">
      <c r="A887" s="60"/>
      <c r="B887" s="287" t="str">
        <f>HYPERLINK("https://codeforces.com/contest/665/problem/E","CF665-D12-E")</f>
        <v>CF665-D12-E</v>
      </c>
      <c r="C887" s="67"/>
      <c r="D887" s="67"/>
      <c r="E887" s="67"/>
      <c r="F887" s="67"/>
      <c r="G887" s="67"/>
      <c r="H887" s="67"/>
      <c r="I887" s="36">
        <f t="shared" si="3"/>
        <v>0</v>
      </c>
      <c r="J887" s="67"/>
      <c r="K887" s="67"/>
      <c r="L887" s="67"/>
      <c r="M887" s="286"/>
      <c r="N887" s="286" t="s">
        <v>1778</v>
      </c>
      <c r="O887" s="286">
        <v>135</v>
      </c>
      <c r="P887" s="286">
        <v>5.5</v>
      </c>
      <c r="Q887" s="12" t="s">
        <v>1245</v>
      </c>
    </row>
    <row r="888" spans="1:17" ht="12.5">
      <c r="A888" s="60"/>
      <c r="B888" s="60" t="s">
        <v>1781</v>
      </c>
      <c r="C888" s="67"/>
      <c r="D888" s="67"/>
      <c r="E888" s="67"/>
      <c r="F888" s="67"/>
      <c r="G888" s="67"/>
      <c r="H888" s="67"/>
      <c r="I888" s="36">
        <f t="shared" si="3"/>
        <v>0</v>
      </c>
      <c r="J888" s="67"/>
      <c r="K888" s="67"/>
      <c r="L888" s="67"/>
      <c r="M888" s="301" t="str">
        <f>HYPERLINK("https://github.com/HosamEissa/Competitive-programming-/blob/master/ACM-ICPC%20Live%20Archive/4682.cpp","Sol")</f>
        <v>Sol</v>
      </c>
      <c r="N888" s="286" t="s">
        <v>1778</v>
      </c>
      <c r="O888" s="286">
        <v>135</v>
      </c>
      <c r="P888" s="286">
        <v>5.5</v>
      </c>
      <c r="Q888" s="12"/>
    </row>
    <row r="889" spans="1:17" ht="12.5">
      <c r="A889" s="60"/>
      <c r="B889" s="287" t="str">
        <f>HYPERLINK("http://codeforces.com/contest/455/problem/B","CF455-D1-B")</f>
        <v>CF455-D1-B</v>
      </c>
      <c r="C889" s="67"/>
      <c r="D889" s="67"/>
      <c r="E889" s="67"/>
      <c r="F889" s="67"/>
      <c r="G889" s="67"/>
      <c r="H889" s="67"/>
      <c r="I889" s="36">
        <f t="shared" si="3"/>
        <v>0</v>
      </c>
      <c r="J889" s="67"/>
      <c r="K889" s="67"/>
      <c r="L889" s="67"/>
      <c r="M889" s="286"/>
      <c r="N889" s="286" t="s">
        <v>1778</v>
      </c>
      <c r="O889" s="286">
        <v>135</v>
      </c>
      <c r="P889" s="286">
        <v>5.5</v>
      </c>
      <c r="Q889" s="12"/>
    </row>
    <row r="890" spans="1:17" ht="12.5">
      <c r="A890" s="60" t="s">
        <v>921</v>
      </c>
      <c r="B890" s="287" t="str">
        <f>HYPERLINK("http://codeforces.com/contest/216/problem/D","CF216-D2-D")</f>
        <v>CF216-D2-D</v>
      </c>
      <c r="C890" s="67"/>
      <c r="D890" s="67"/>
      <c r="E890" s="67"/>
      <c r="F890" s="67"/>
      <c r="G890" s="67"/>
      <c r="H890" s="67"/>
      <c r="I890" s="36">
        <f t="shared" si="3"/>
        <v>0</v>
      </c>
      <c r="J890" s="67"/>
      <c r="K890" s="67"/>
      <c r="L890" s="67"/>
      <c r="M890" s="28"/>
      <c r="N890" s="286" t="s">
        <v>1782</v>
      </c>
      <c r="O890" s="286">
        <v>138</v>
      </c>
      <c r="P890" s="286">
        <v>3</v>
      </c>
    </row>
    <row r="891" spans="1:17" ht="12.5">
      <c r="A891" s="60" t="s">
        <v>621</v>
      </c>
      <c r="B891" s="287" t="str">
        <f>HYPERLINK("http://codeforces.com/contest/252/problem/C","CF252-D2-C")</f>
        <v>CF252-D2-C</v>
      </c>
      <c r="C891" s="67"/>
      <c r="D891" s="67"/>
      <c r="E891" s="67"/>
      <c r="F891" s="67"/>
      <c r="G891" s="67"/>
      <c r="H891" s="67"/>
      <c r="I891" s="36">
        <f t="shared" si="3"/>
        <v>0</v>
      </c>
      <c r="J891" s="36"/>
      <c r="K891" s="36"/>
      <c r="L891" s="67"/>
      <c r="M891" s="28"/>
      <c r="N891" s="286" t="s">
        <v>1783</v>
      </c>
      <c r="O891" s="286">
        <v>138</v>
      </c>
      <c r="P891" s="286">
        <v>4</v>
      </c>
      <c r="Q891" s="12" t="s">
        <v>1243</v>
      </c>
    </row>
    <row r="892" spans="1:17" ht="12.5">
      <c r="A892" s="60" t="s">
        <v>778</v>
      </c>
      <c r="B892" s="287" t="str">
        <f>HYPERLINK("http://codeforces.com/contest/155/problem/C","CF155-D2-C")</f>
        <v>CF155-D2-C</v>
      </c>
      <c r="C892" s="67"/>
      <c r="D892" s="67"/>
      <c r="E892" s="67"/>
      <c r="F892" s="67"/>
      <c r="G892" s="67"/>
      <c r="H892" s="67"/>
      <c r="I892" s="36">
        <f t="shared" si="3"/>
        <v>0</v>
      </c>
      <c r="J892" s="67"/>
      <c r="K892" s="67"/>
      <c r="L892" s="67"/>
      <c r="M892" s="28"/>
      <c r="N892" s="286" t="s">
        <v>1784</v>
      </c>
      <c r="O892" s="286">
        <v>138</v>
      </c>
      <c r="P892" s="286">
        <v>4.5</v>
      </c>
    </row>
    <row r="893" spans="1:17" ht="12.5">
      <c r="A893" s="60"/>
      <c r="B893" s="287" t="str">
        <f>HYPERLINK("http://codeforces.com/contest/1043/problem/D","CF1043-D12-D")</f>
        <v>CF1043-D12-D</v>
      </c>
      <c r="C893" s="67"/>
      <c r="D893" s="67"/>
      <c r="E893" s="67"/>
      <c r="F893" s="67"/>
      <c r="G893" s="67"/>
      <c r="H893" s="67"/>
      <c r="I893" s="36">
        <f t="shared" si="3"/>
        <v>0</v>
      </c>
      <c r="J893" s="36"/>
      <c r="K893" s="36"/>
      <c r="L893" s="67"/>
      <c r="M893" s="191"/>
      <c r="N893" s="286" t="s">
        <v>1785</v>
      </c>
      <c r="O893" s="286">
        <v>138</v>
      </c>
      <c r="P893" s="286">
        <v>5</v>
      </c>
      <c r="Q893" s="12" t="s">
        <v>1245</v>
      </c>
    </row>
    <row r="894" spans="1:17" ht="12.5">
      <c r="A894" s="60"/>
      <c r="B894" s="287" t="str">
        <f>HYPERLINK("https://www.codechef.com/ACMIND18/problems/REDCGAME","CODECHEF REDCGAME")</f>
        <v>CODECHEF REDCGAME</v>
      </c>
      <c r="C894" s="67"/>
      <c r="D894" s="67"/>
      <c r="E894" s="67"/>
      <c r="F894" s="67"/>
      <c r="G894" s="67"/>
      <c r="H894" s="67"/>
      <c r="I894" s="36">
        <f t="shared" si="3"/>
        <v>0</v>
      </c>
      <c r="J894" s="67"/>
      <c r="K894" s="67"/>
      <c r="L894" s="67"/>
      <c r="M894" s="28"/>
      <c r="N894" s="286" t="s">
        <v>1786</v>
      </c>
      <c r="O894" s="286">
        <v>138</v>
      </c>
      <c r="P894" s="286">
        <v>5</v>
      </c>
      <c r="Q894" s="12" t="s">
        <v>1243</v>
      </c>
    </row>
    <row r="895" spans="1:17" ht="12.5">
      <c r="A895" s="60" t="s">
        <v>1060</v>
      </c>
      <c r="B895" s="287" t="str">
        <f>HYPERLINK("http://codeforces.com/contest/368/problem/D","CF368-D2-D")</f>
        <v>CF368-D2-D</v>
      </c>
      <c r="C895" s="67"/>
      <c r="D895" s="67"/>
      <c r="E895" s="67"/>
      <c r="F895" s="67"/>
      <c r="G895" s="67"/>
      <c r="H895" s="67"/>
      <c r="I895" s="36">
        <f t="shared" si="3"/>
        <v>0</v>
      </c>
      <c r="J895" s="67"/>
      <c r="K895" s="67"/>
      <c r="L895" s="302"/>
      <c r="M895" s="301" t="str">
        <f>HYPERLINK("https://github.com/MohamedNabil97/CompetitiveProgramming/blob/master/CodeForces/CF368-D2-D.cpp","Sol")</f>
        <v>Sol</v>
      </c>
      <c r="N895" s="286" t="s">
        <v>1787</v>
      </c>
      <c r="O895" s="286">
        <v>138</v>
      </c>
      <c r="P895" s="286">
        <v>5</v>
      </c>
      <c r="Q895" s="12" t="s">
        <v>1243</v>
      </c>
    </row>
    <row r="896" spans="1:17" ht="12.5">
      <c r="A896" s="60" t="s">
        <v>923</v>
      </c>
      <c r="B896" s="287" t="str">
        <f>HYPERLINK("http://codeforces.com/contest/676/problem/C","CF676-D2-C")</f>
        <v>CF676-D2-C</v>
      </c>
      <c r="C896" s="67"/>
      <c r="D896" s="67"/>
      <c r="E896" s="67"/>
      <c r="F896" s="67"/>
      <c r="G896" s="67"/>
      <c r="H896" s="67"/>
      <c r="I896" s="36">
        <f t="shared" si="3"/>
        <v>0</v>
      </c>
      <c r="J896" s="67"/>
      <c r="K896" s="67"/>
      <c r="L896" s="67"/>
      <c r="M896" s="28"/>
      <c r="N896" s="286" t="s">
        <v>1786</v>
      </c>
      <c r="O896" s="286">
        <v>138</v>
      </c>
      <c r="P896" s="286">
        <v>5</v>
      </c>
    </row>
    <row r="897" spans="1:17" ht="12.5">
      <c r="A897" s="60" t="s">
        <v>801</v>
      </c>
      <c r="B897" s="287" t="str">
        <f>HYPERLINK("http://codeforces.com/contest/231/problem/C","CF231-D2-C")</f>
        <v>CF231-D2-C</v>
      </c>
      <c r="C897" s="67"/>
      <c r="D897" s="67"/>
      <c r="E897" s="67"/>
      <c r="F897" s="67"/>
      <c r="G897" s="67"/>
      <c r="H897" s="67"/>
      <c r="I897" s="36">
        <f t="shared" si="3"/>
        <v>0</v>
      </c>
      <c r="J897" s="67"/>
      <c r="K897" s="67"/>
      <c r="L897" s="67"/>
      <c r="M897" s="28"/>
      <c r="N897" s="286" t="s">
        <v>1788</v>
      </c>
      <c r="O897" s="286">
        <v>138</v>
      </c>
      <c r="P897" s="286">
        <v>5</v>
      </c>
    </row>
    <row r="898" spans="1:17" ht="12.5">
      <c r="A898" s="60" t="s">
        <v>1022</v>
      </c>
      <c r="B898" s="287" t="str">
        <f>HYPERLINK("http://codeforces.com/contest/224/problem/D","CF224-D2-D")</f>
        <v>CF224-D2-D</v>
      </c>
      <c r="C898" s="67"/>
      <c r="D898" s="67"/>
      <c r="E898" s="67"/>
      <c r="F898" s="67"/>
      <c r="G898" s="67"/>
      <c r="H898" s="67"/>
      <c r="I898" s="36">
        <f t="shared" si="3"/>
        <v>0</v>
      </c>
      <c r="J898" s="36"/>
      <c r="K898" s="36"/>
      <c r="L898" s="67"/>
      <c r="M898" s="301" t="str">
        <f>HYPERLINK("https://github.com/abdullaAshraf/Problem-Solving/blob/master/CodeForces/CF224-D2-D.cpp","Sol")</f>
        <v>Sol</v>
      </c>
      <c r="N898" s="286" t="s">
        <v>1786</v>
      </c>
      <c r="O898" s="286">
        <v>138</v>
      </c>
      <c r="P898" s="286">
        <v>5.5</v>
      </c>
      <c r="Q898" s="12" t="s">
        <v>1245</v>
      </c>
    </row>
    <row r="899" spans="1:17" ht="12.5">
      <c r="A899" s="60" t="s">
        <v>922</v>
      </c>
      <c r="B899" s="287" t="str">
        <f>HYPERLINK("http://codeforces.com/contest/334/problem/D","CF334-D2-D")</f>
        <v>CF334-D2-D</v>
      </c>
      <c r="C899" s="67"/>
      <c r="D899" s="67"/>
      <c r="E899" s="67"/>
      <c r="F899" s="67"/>
      <c r="G899" s="67"/>
      <c r="H899" s="67"/>
      <c r="I899" s="36">
        <f t="shared" si="3"/>
        <v>0</v>
      </c>
      <c r="J899" s="67"/>
      <c r="K899" s="67"/>
      <c r="L899" s="67"/>
      <c r="M899" s="28"/>
      <c r="N899" s="286" t="s">
        <v>1782</v>
      </c>
      <c r="O899" s="286">
        <v>138</v>
      </c>
      <c r="P899" s="286">
        <v>5.5</v>
      </c>
      <c r="Q899" s="12" t="s">
        <v>1243</v>
      </c>
    </row>
    <row r="900" spans="1:17" ht="12.5">
      <c r="A900" s="60"/>
      <c r="B900" s="287" t="str">
        <f>HYPERLINK("http://codeforces.com/contest/309/problem/B","CF309-D12-B")</f>
        <v>CF309-D12-B</v>
      </c>
      <c r="C900" s="67"/>
      <c r="D900" s="67"/>
      <c r="E900" s="67"/>
      <c r="F900" s="67"/>
      <c r="G900" s="67"/>
      <c r="H900" s="67"/>
      <c r="I900" s="36">
        <f t="shared" si="3"/>
        <v>0</v>
      </c>
      <c r="J900" s="36"/>
      <c r="K900" s="36"/>
      <c r="L900" s="302"/>
      <c r="M900" s="191"/>
      <c r="N900" s="286" t="s">
        <v>1789</v>
      </c>
      <c r="O900" s="286">
        <v>138</v>
      </c>
      <c r="P900" s="286">
        <v>5.5</v>
      </c>
      <c r="Q900" s="12" t="s">
        <v>1243</v>
      </c>
    </row>
    <row r="901" spans="1:17" ht="12.5">
      <c r="A901" s="60" t="s">
        <v>1170</v>
      </c>
      <c r="B901" s="287" t="str">
        <f>HYPERLINK("http://codeforces.com/contest/281/problem/D","CF281-D2-D")</f>
        <v>CF281-D2-D</v>
      </c>
      <c r="C901" s="67"/>
      <c r="D901" s="67"/>
      <c r="E901" s="67"/>
      <c r="F901" s="67"/>
      <c r="G901" s="67"/>
      <c r="H901" s="67"/>
      <c r="I901" s="36">
        <f t="shared" si="3"/>
        <v>0</v>
      </c>
      <c r="J901" s="67"/>
      <c r="K901" s="67"/>
      <c r="L901" s="302"/>
      <c r="M901" s="28"/>
      <c r="N901" s="286" t="s">
        <v>1790</v>
      </c>
      <c r="O901" s="286">
        <v>138</v>
      </c>
      <c r="P901" s="286">
        <v>5.5</v>
      </c>
    </row>
    <row r="902" spans="1:17" ht="12.5">
      <c r="A902" s="73"/>
      <c r="B902" s="73"/>
      <c r="C902" s="315"/>
      <c r="D902" s="315"/>
      <c r="E902" s="315"/>
      <c r="F902" s="315"/>
      <c r="G902" s="315"/>
      <c r="H902" s="315"/>
      <c r="I902" s="316"/>
      <c r="J902" s="317"/>
      <c r="K902" s="316"/>
      <c r="L902" s="317"/>
      <c r="M902" s="318"/>
      <c r="N902" s="319"/>
      <c r="O902" s="320"/>
      <c r="P902" s="321"/>
      <c r="Q902" s="322"/>
    </row>
    <row r="903" spans="1:17" ht="13">
      <c r="A903" s="10"/>
      <c r="B903" s="10"/>
      <c r="C903" s="10"/>
      <c r="D903" s="10"/>
      <c r="E903" s="10"/>
      <c r="F903" s="10"/>
      <c r="G903" s="412" t="s">
        <v>1791</v>
      </c>
      <c r="H903" s="365"/>
      <c r="I903" s="365"/>
      <c r="J903" s="365"/>
      <c r="K903" s="412" t="s">
        <v>1792</v>
      </c>
      <c r="L903" s="365"/>
      <c r="M903" s="412" t="s">
        <v>185</v>
      </c>
      <c r="N903" s="365"/>
      <c r="O903" s="10"/>
      <c r="P903" s="145"/>
      <c r="Q903" s="10"/>
    </row>
    <row r="904" spans="1:17" ht="13">
      <c r="A904" s="404" t="s">
        <v>1793</v>
      </c>
      <c r="B904" s="365"/>
      <c r="C904" s="10"/>
      <c r="D904" s="10"/>
      <c r="E904" s="10"/>
      <c r="F904" s="10"/>
      <c r="G904" s="323"/>
      <c r="H904" s="28"/>
      <c r="I904" s="28"/>
      <c r="K904" s="28">
        <v>1</v>
      </c>
      <c r="L904" s="28"/>
      <c r="M904" s="406" t="str">
        <f>HYPERLINK("https://www.youtube.com/watch?v=fd0Ebfa_mJ0","Watch - Approaching Problem Statement ")</f>
        <v xml:space="preserve">Watch - Approaching Problem Statement </v>
      </c>
      <c r="N904" s="365"/>
      <c r="O904" s="324"/>
      <c r="P904" s="145"/>
      <c r="Q904" s="10"/>
    </row>
    <row r="905" spans="1:17" ht="13">
      <c r="A905" s="365"/>
      <c r="B905" s="365"/>
      <c r="C905" s="10"/>
      <c r="D905" s="10"/>
      <c r="E905" s="10"/>
      <c r="F905" s="10"/>
      <c r="G905" s="325"/>
      <c r="H905" s="28"/>
      <c r="I905" s="28"/>
      <c r="K905" s="28">
        <v>2</v>
      </c>
      <c r="L905" s="28"/>
      <c r="M905" s="407" t="str">
        <f>HYPERLINK("https://www.youtube.com/watch?v=olcmPKZNqnM","Watch - Thinking - On papers Not on PC ")</f>
        <v xml:space="preserve">Watch - Thinking - On papers Not on PC </v>
      </c>
      <c r="N905" s="365"/>
      <c r="O905" s="324"/>
      <c r="P905" s="194"/>
    </row>
    <row r="906" spans="1:17" ht="13">
      <c r="A906" s="365"/>
      <c r="B906" s="365"/>
      <c r="C906" s="10"/>
      <c r="D906" s="10"/>
      <c r="E906" s="10"/>
      <c r="F906" s="10"/>
      <c r="G906" s="323"/>
      <c r="H906" s="28"/>
      <c r="I906" s="28"/>
      <c r="K906" s="28">
        <v>3</v>
      </c>
      <c r="L906" s="28"/>
      <c r="M906" s="406" t="str">
        <f>HYPERLINK("https://www.youtube.com/watch?v=EQzmtn4PzYQ","Watch - Measuring Algorithms Perfromance - 1")</f>
        <v>Watch - Measuring Algorithms Perfromance - 1</v>
      </c>
      <c r="N906" s="365"/>
      <c r="O906" s="324"/>
      <c r="P906" s="326"/>
    </row>
    <row r="907" spans="1:17" ht="13">
      <c r="A907" s="365"/>
      <c r="B907" s="365"/>
      <c r="C907" s="10"/>
      <c r="D907" s="10"/>
      <c r="E907" s="10"/>
      <c r="F907" s="10"/>
      <c r="G907" s="323"/>
      <c r="H907" s="28"/>
      <c r="I907" s="28"/>
      <c r="K907" s="28">
        <v>4</v>
      </c>
      <c r="L907" s="28"/>
      <c r="M907" s="408" t="str">
        <f>HYPERLINK("https://www.youtube.com/watch?v=Syx2qDjj7TE","Watch - Elementary Math - Introduction")</f>
        <v>Watch - Elementary Math - Introduction</v>
      </c>
      <c r="N907" s="365"/>
      <c r="O907" s="326"/>
      <c r="P907" s="326"/>
    </row>
    <row r="908" spans="1:17" ht="13">
      <c r="A908" s="365"/>
      <c r="B908" s="365"/>
      <c r="C908" s="10"/>
      <c r="D908" s="10"/>
      <c r="E908" s="10"/>
      <c r="F908" s="10"/>
      <c r="G908" s="323">
        <v>109</v>
      </c>
      <c r="H908" s="28"/>
      <c r="I908" s="28"/>
      <c r="K908" s="28">
        <v>5</v>
      </c>
      <c r="L908" s="28"/>
      <c r="M908" s="409" t="str">
        <f>HYPERLINK("https://www.youtube.com/watch?v=9sqvjnvuLtY","Watch - Number Theory - Modular Arithmatic")</f>
        <v>Watch - Number Theory - Modular Arithmatic</v>
      </c>
      <c r="N908" s="365"/>
      <c r="O908" s="314"/>
      <c r="P908" s="314"/>
    </row>
    <row r="909" spans="1:17" ht="13">
      <c r="A909" s="365"/>
      <c r="B909" s="365"/>
      <c r="C909" s="10"/>
      <c r="D909" s="10"/>
      <c r="E909" s="10"/>
      <c r="F909" s="10"/>
      <c r="G909" s="323" t="s">
        <v>1794</v>
      </c>
      <c r="H909" s="28"/>
      <c r="I909" s="28"/>
      <c r="K909" s="28">
        <v>6</v>
      </c>
      <c r="L909" s="28"/>
      <c r="M909" s="409" t="str">
        <f>HYPERLINK("https://www.youtube.com/watch?v=sr6WgCLcgVM","Watch - Combinatorics - Counting Principles")</f>
        <v>Watch - Combinatorics - Counting Principles</v>
      </c>
      <c r="N909" s="365"/>
      <c r="O909" s="194"/>
      <c r="P909" s="194"/>
    </row>
    <row r="910" spans="1:17" ht="13">
      <c r="A910" s="365"/>
      <c r="B910" s="365"/>
      <c r="C910" s="10"/>
      <c r="D910" s="10"/>
      <c r="E910" s="10"/>
      <c r="F910" s="10"/>
      <c r="G910" s="325"/>
      <c r="H910" s="28"/>
      <c r="I910" s="28"/>
      <c r="K910" s="28">
        <v>7</v>
      </c>
      <c r="L910" s="28"/>
      <c r="M910" s="410" t="str">
        <f>HYPERLINK("https://www.youtube.com/watch?v=jzfcfQVBtKA","Watch - Graph Theory - Intro")</f>
        <v>Watch - Graph Theory - Intro</v>
      </c>
      <c r="N910" s="365"/>
      <c r="O910" s="329"/>
      <c r="P910" s="329"/>
    </row>
    <row r="911" spans="1:17" ht="13">
      <c r="A911" s="365"/>
      <c r="B911" s="365"/>
      <c r="C911" s="10"/>
      <c r="D911" s="10"/>
      <c r="E911" s="10"/>
      <c r="F911" s="10"/>
      <c r="G911" s="325" t="s">
        <v>1795</v>
      </c>
      <c r="H911" s="28"/>
      <c r="I911" s="28"/>
      <c r="K911" s="28">
        <v>8</v>
      </c>
      <c r="L911" s="28"/>
      <c r="M911" s="410" t="str">
        <f>HYPERLINK("https://www.youtube.com/watch?v=9DP0X2xlPCo","Watch - Graph Theory - DFS")</f>
        <v>Watch - Graph Theory - DFS</v>
      </c>
      <c r="N911" s="365"/>
      <c r="O911" s="326"/>
      <c r="P911" s="326"/>
    </row>
    <row r="912" spans="1:17" ht="13">
      <c r="A912" s="365"/>
      <c r="B912" s="365"/>
      <c r="C912" s="10"/>
      <c r="D912" s="10"/>
      <c r="E912" s="10"/>
      <c r="F912" s="10"/>
      <c r="G912" s="325">
        <v>45</v>
      </c>
      <c r="H912" s="28"/>
      <c r="I912" s="28"/>
      <c r="K912" s="28">
        <v>9</v>
      </c>
      <c r="L912" s="28"/>
      <c r="M912" s="407" t="str">
        <f>HYPERLINK("https://www.youtube.com/watch?v=XhVmgLXYvuQ","Watch - Computational Geometry - Intro")</f>
        <v>Watch - Computational Geometry - Intro</v>
      </c>
      <c r="N912" s="365"/>
      <c r="O912" s="194"/>
      <c r="P912" s="194"/>
    </row>
    <row r="913" spans="1:17" ht="13">
      <c r="A913" s="365"/>
      <c r="B913" s="365"/>
      <c r="C913" s="10"/>
      <c r="D913" s="10"/>
      <c r="E913" s="10"/>
      <c r="F913" s="10"/>
      <c r="G913" s="325">
        <v>45</v>
      </c>
      <c r="H913" s="28"/>
      <c r="I913" s="28"/>
      <c r="K913" s="28">
        <v>10</v>
      </c>
      <c r="L913" s="28"/>
      <c r="M913" s="407" t="str">
        <f>HYPERLINK("https://www.youtube.com/watch?v=2CUN12WrNr4","Watch - Computational Geometry - Point and Vector")</f>
        <v>Watch - Computational Geometry - Point and Vector</v>
      </c>
      <c r="N913" s="365"/>
      <c r="O913" s="324"/>
      <c r="P913" s="145"/>
      <c r="Q913" s="10"/>
    </row>
    <row r="914" spans="1:17" ht="13">
      <c r="A914" s="365"/>
      <c r="B914" s="365"/>
      <c r="C914" s="10"/>
      <c r="D914" s="10"/>
      <c r="E914" s="10"/>
      <c r="F914" s="10"/>
      <c r="G914" s="323">
        <v>6</v>
      </c>
      <c r="H914" s="28"/>
      <c r="I914" s="28"/>
      <c r="K914" s="28">
        <v>11</v>
      </c>
      <c r="L914" s="28"/>
      <c r="M914" s="406" t="str">
        <f>HYPERLINK("https://www.youtube.com/watch?v=2G7RzlxTNPo","Watch - Search Techniques - Binary Search")</f>
        <v>Watch - Search Techniques - Binary Search</v>
      </c>
      <c r="N914" s="365"/>
      <c r="O914" s="330"/>
      <c r="P914" s="10"/>
      <c r="Q914" s="10"/>
    </row>
    <row r="915" spans="1:17" ht="13">
      <c r="A915" s="365"/>
      <c r="B915" s="365"/>
      <c r="C915" s="10"/>
      <c r="D915" s="10"/>
      <c r="E915" s="10"/>
      <c r="F915" s="10"/>
      <c r="G915" s="323"/>
      <c r="H915" s="28"/>
      <c r="I915" s="28"/>
      <c r="K915" s="28">
        <v>12</v>
      </c>
      <c r="L915" s="28"/>
      <c r="M915" s="401" t="str">
        <f>HYPERLINK("https://www.youtube.com/watch?v=x1rCxxKfFbM","Watch - Thinking - Problem Simplification ")</f>
        <v xml:space="preserve">Watch - Thinking - Problem Simplification </v>
      </c>
      <c r="N915" s="365"/>
      <c r="O915" s="330"/>
      <c r="P915" s="10"/>
      <c r="Q915" s="10"/>
    </row>
    <row r="916" spans="1:17" ht="13">
      <c r="A916" s="365"/>
      <c r="B916" s="365"/>
      <c r="C916" s="10"/>
      <c r="D916" s="10"/>
      <c r="E916" s="10"/>
      <c r="F916" s="10"/>
      <c r="G916" s="325"/>
      <c r="H916" s="28"/>
      <c r="I916" s="28"/>
      <c r="K916" s="28">
        <v>13</v>
      </c>
      <c r="L916" s="28"/>
      <c r="M916" s="401" t="str">
        <f>HYPERLINK("https://www.youtube.com/watch?v=7z1498LTCgg","Watch - Thinking - Brainstorm - Rank - Approach ")</f>
        <v xml:space="preserve">Watch - Thinking - Brainstorm - Rank - Approach </v>
      </c>
      <c r="N916" s="365"/>
      <c r="O916" s="194"/>
      <c r="P916" s="194"/>
    </row>
    <row r="917" spans="1:17" ht="13">
      <c r="A917" s="365"/>
      <c r="B917" s="365"/>
      <c r="C917" s="10"/>
      <c r="D917" s="10"/>
      <c r="E917" s="10"/>
      <c r="F917" s="10"/>
      <c r="G917" s="325"/>
      <c r="H917" s="28"/>
      <c r="I917" s="28"/>
      <c r="K917" s="28">
        <v>14</v>
      </c>
      <c r="L917" s="28"/>
      <c r="M917" s="413" t="str">
        <f>HYPERLINK("https://www.youtube.com/watch?v=KAS83uXf_8s&amp;list=PLPt2dINI2MIZPFq6HyUB1Uhxdh1UDnZMS","Study STL")</f>
        <v>Study STL</v>
      </c>
      <c r="N917" s="365"/>
      <c r="O917" s="194"/>
      <c r="P917" s="194"/>
    </row>
    <row r="918" spans="1:17" ht="13">
      <c r="A918" s="365"/>
      <c r="B918" s="365"/>
      <c r="C918" s="10"/>
      <c r="D918" s="10"/>
      <c r="E918" s="10"/>
      <c r="F918" s="10"/>
      <c r="G918" s="323" t="s">
        <v>1794</v>
      </c>
      <c r="H918" s="28"/>
      <c r="I918" s="28"/>
      <c r="K918" s="28">
        <v>15</v>
      </c>
      <c r="L918" s="28"/>
      <c r="M918" s="392" t="str">
        <f>HYPERLINK("https://www.youtube.com/watch?v=9wvqNeX_JnI","Watch - Combinatorics - Permutations and Combinations - 1")</f>
        <v>Watch - Combinatorics - Permutations and Combinations - 1</v>
      </c>
      <c r="N918" s="365"/>
      <c r="O918" s="326"/>
      <c r="P918" s="326"/>
    </row>
    <row r="919" spans="1:17" ht="13">
      <c r="A919" s="365"/>
      <c r="B919" s="365"/>
      <c r="C919" s="10"/>
      <c r="D919" s="10"/>
      <c r="E919" s="10"/>
      <c r="F919" s="10"/>
      <c r="G919" s="323" t="s">
        <v>1794</v>
      </c>
      <c r="H919" s="28"/>
      <c r="I919" s="28"/>
      <c r="K919" s="28">
        <v>16</v>
      </c>
      <c r="L919" s="28"/>
      <c r="M919" s="392" t="str">
        <f>HYPERLINK("https://www.youtube.com/watch?v=8V_xhaPpjmM","Watch - Combinatorics - Permutations and Combinations - 2")</f>
        <v>Watch - Combinatorics - Permutations and Combinations - 2</v>
      </c>
      <c r="N919" s="365"/>
      <c r="O919" s="113"/>
      <c r="P919" s="113"/>
    </row>
    <row r="920" spans="1:17" ht="13">
      <c r="A920" s="365"/>
      <c r="B920" s="365"/>
      <c r="C920" s="10"/>
      <c r="D920" s="10"/>
      <c r="E920" s="10"/>
      <c r="F920" s="10"/>
      <c r="G920" s="325"/>
      <c r="H920" s="28"/>
      <c r="I920" s="28"/>
      <c r="K920" s="28">
        <v>17</v>
      </c>
      <c r="L920" s="28"/>
      <c r="M920" s="394" t="str">
        <f>HYPERLINK("https://www.youtube.com/watch?v=tKGztXjnnuA","Watch - Training-Secrets of Success")</f>
        <v>Watch - Training-Secrets of Success</v>
      </c>
      <c r="N920" s="365"/>
      <c r="O920" s="113"/>
      <c r="P920" s="113"/>
    </row>
    <row r="921" spans="1:17" ht="13">
      <c r="A921" s="60"/>
      <c r="B921" s="60"/>
      <c r="C921" s="10"/>
      <c r="D921" s="10"/>
      <c r="E921" s="10"/>
      <c r="F921" s="10"/>
      <c r="G921" s="325"/>
      <c r="H921" s="28"/>
      <c r="I921" s="28"/>
      <c r="K921" s="28">
        <v>18</v>
      </c>
      <c r="L921" s="28"/>
      <c r="M921" s="331" t="str">
        <f>HYPERLINK("https://www.youtube.com/watch?v=tKGztXjnnuA","Watch - Training-Secrets of Success")</f>
        <v>Watch - Training-Secrets of Success</v>
      </c>
      <c r="N921" s="332"/>
      <c r="O921" s="113"/>
      <c r="P921" s="113"/>
    </row>
    <row r="922" spans="1:17" ht="13">
      <c r="A922" s="60"/>
      <c r="B922" s="60"/>
      <c r="C922" s="10"/>
      <c r="D922" s="10"/>
      <c r="E922" s="10"/>
      <c r="F922" s="10"/>
      <c r="G922" s="325">
        <v>99</v>
      </c>
      <c r="H922" s="28"/>
      <c r="I922" s="28"/>
      <c r="K922" s="28">
        <v>19</v>
      </c>
      <c r="L922" s="28"/>
      <c r="M922" s="392" t="str">
        <f>HYPERLINK("https://www.youtube.com/watch?v=YklnFXpq0ZE","Watch - Number Theory - Fib, GCD, LCM, Pow")</f>
        <v>Watch - Number Theory - Fib, GCD, LCM, Pow</v>
      </c>
      <c r="N922" s="365"/>
      <c r="O922" s="113"/>
      <c r="P922" s="113"/>
    </row>
    <row r="923" spans="1:17" ht="13">
      <c r="A923" s="10"/>
      <c r="B923" s="10"/>
      <c r="C923" s="10"/>
      <c r="D923" s="10"/>
      <c r="E923" s="10"/>
      <c r="F923" s="10"/>
      <c r="G923" s="323"/>
      <c r="H923" s="28"/>
      <c r="I923" s="28"/>
      <c r="K923" s="28">
        <v>20</v>
      </c>
      <c r="L923" s="28"/>
      <c r="M923" s="393" t="str">
        <f>HYPERLINK("https://www.youtube.com/watch?v=hqOqr6vFPp8","Watch - Prefix Sum")</f>
        <v>Watch - Prefix Sum</v>
      </c>
      <c r="N923" s="365"/>
      <c r="O923" s="113"/>
      <c r="P923" s="333"/>
      <c r="Q923" s="10"/>
    </row>
    <row r="924" spans="1:17" ht="13">
      <c r="A924" s="60"/>
      <c r="B924" s="60"/>
      <c r="C924" s="10"/>
      <c r="D924" s="10"/>
      <c r="E924" s="10"/>
      <c r="F924" s="10"/>
      <c r="G924" s="325">
        <v>57</v>
      </c>
      <c r="H924" s="28"/>
      <c r="I924" s="28"/>
      <c r="K924" s="28">
        <v>21</v>
      </c>
      <c r="L924" s="28"/>
      <c r="M924" s="392" t="str">
        <f>HYPERLINK("https://www.youtube.com/watch?v=COB1GHq0YwY","Watch - Graph Theory - BFS")</f>
        <v>Watch - Graph Theory - BFS</v>
      </c>
      <c r="N924" s="365"/>
      <c r="O924" s="113"/>
      <c r="P924" s="47"/>
    </row>
    <row r="925" spans="1:17" ht="13">
      <c r="A925" s="60"/>
      <c r="B925" s="60"/>
      <c r="C925" s="10"/>
      <c r="D925" s="10"/>
      <c r="E925" s="10"/>
      <c r="F925" s="10"/>
      <c r="G925" s="323"/>
      <c r="H925" s="28"/>
      <c r="I925" s="28"/>
      <c r="K925" s="28">
        <v>22</v>
      </c>
      <c r="L925" s="28"/>
      <c r="M925" s="127" t="str">
        <f>HYPERLINK("https://www.youtube.com/watch?v=hyk46UmJPS4&amp;list=PLPt2dINI2MIZPFq6HyUB1Uhxdh1UDnZMS&amp;index=22","Review - Recursion")</f>
        <v>Review - Recursion</v>
      </c>
      <c r="N925" s="127"/>
      <c r="O925" s="113"/>
      <c r="P925" s="327"/>
    </row>
    <row r="926" spans="1:17" ht="13">
      <c r="A926" s="60"/>
      <c r="B926" s="60"/>
      <c r="C926" s="10"/>
      <c r="D926" s="10"/>
      <c r="E926" s="10"/>
      <c r="F926" s="10"/>
      <c r="G926" s="325">
        <v>10</v>
      </c>
      <c r="H926" s="28"/>
      <c r="I926" s="28"/>
      <c r="K926" s="28">
        <v>23</v>
      </c>
      <c r="L926" s="28"/>
      <c r="M926" s="394" t="str">
        <f>HYPERLINK("https://www.youtube.com/watch?v=gFdP6X4CyKU","Watch - DP - intro 1")</f>
        <v>Watch - DP - intro 1</v>
      </c>
      <c r="N926" s="365"/>
      <c r="O926" s="113"/>
      <c r="P926" s="113"/>
    </row>
    <row r="927" spans="1:17" ht="13">
      <c r="A927" s="60"/>
      <c r="B927" s="60"/>
      <c r="C927" s="10"/>
      <c r="D927" s="10"/>
      <c r="E927" s="10"/>
      <c r="F927" s="10"/>
      <c r="G927" s="325">
        <v>10</v>
      </c>
      <c r="H927" s="28"/>
      <c r="I927" s="28"/>
      <c r="K927" s="28">
        <v>24</v>
      </c>
      <c r="L927" s="28"/>
      <c r="M927" s="394" t="str">
        <f>HYPERLINK("https://www.youtube.com/watch?v=1j3srLj-C5Q","Watch - DP - intro 2")</f>
        <v>Watch - DP - intro 2</v>
      </c>
      <c r="N927" s="365"/>
      <c r="O927" s="113"/>
      <c r="P927" s="113"/>
    </row>
    <row r="928" spans="1:17" ht="13">
      <c r="A928" s="60"/>
      <c r="B928" s="60"/>
      <c r="C928" s="10"/>
      <c r="D928" s="10"/>
      <c r="E928" s="10"/>
      <c r="F928" s="10"/>
      <c r="G928" s="325">
        <v>45</v>
      </c>
      <c r="H928" s="28"/>
      <c r="I928" s="28"/>
      <c r="K928" s="28">
        <v>25</v>
      </c>
      <c r="L928" s="28"/>
      <c r="M928" s="392" t="str">
        <f>HYPERLINK("https://www.youtube.com/watch?v=dcMtSmWHLP4","Watch - Computational Geometry - Complex Number and 2D Point")</f>
        <v>Watch - Computational Geometry - Complex Number and 2D Point</v>
      </c>
      <c r="N928" s="365"/>
      <c r="O928" s="113"/>
      <c r="P928" s="113"/>
    </row>
    <row r="929" spans="1:16" ht="13">
      <c r="A929" s="60"/>
      <c r="B929" s="60"/>
      <c r="C929" s="10"/>
      <c r="D929" s="10"/>
      <c r="E929" s="10"/>
      <c r="F929" s="10"/>
      <c r="G929" s="325">
        <v>48</v>
      </c>
      <c r="H929" s="28"/>
      <c r="I929" s="28"/>
      <c r="K929" s="28">
        <v>26</v>
      </c>
      <c r="L929" s="28"/>
      <c r="M929" s="392" t="str">
        <f>HYPERLINK("https://www.youtube.com/watch?v=1Vi2h7dKdEQ","Watch - Computational Geometry - Lines and Distances")</f>
        <v>Watch - Computational Geometry - Lines and Distances</v>
      </c>
      <c r="N929" s="365"/>
      <c r="O929" s="113"/>
      <c r="P929" s="113"/>
    </row>
    <row r="930" spans="1:16" ht="13">
      <c r="A930" s="60"/>
      <c r="B930" s="60"/>
      <c r="C930" s="10"/>
      <c r="D930" s="10"/>
      <c r="E930" s="10"/>
      <c r="F930" s="10"/>
      <c r="G930" s="325"/>
      <c r="H930" s="28"/>
      <c r="I930" s="28"/>
      <c r="K930" s="28">
        <v>27</v>
      </c>
      <c r="L930" s="28"/>
      <c r="M930" s="405" t="str">
        <f>HYPERLINK("https://www.youtube.com/watch?v=WTr12dK2Se0","Watch - Focused and Diffused Thinking")</f>
        <v>Watch - Focused and Diffused Thinking</v>
      </c>
      <c r="N930" s="365"/>
      <c r="O930" s="113"/>
      <c r="P930" s="48"/>
    </row>
    <row r="931" spans="1:16" ht="13">
      <c r="A931" s="60"/>
      <c r="B931" s="60"/>
      <c r="C931" s="10"/>
      <c r="D931" s="10"/>
      <c r="E931" s="10"/>
      <c r="F931" s="10"/>
      <c r="G931" s="325" t="s">
        <v>1796</v>
      </c>
      <c r="H931" s="28"/>
      <c r="I931" s="28"/>
      <c r="K931" s="28">
        <v>28</v>
      </c>
      <c r="L931" s="28"/>
      <c r="M931" s="392" t="str">
        <f>HYPERLINK("https://www.youtube.com/watch?v=HQ5ANfzSDn0","Watch - Graph Theory - MST - Kruskal")</f>
        <v>Watch - Graph Theory - MST - Kruskal</v>
      </c>
      <c r="N931" s="365"/>
      <c r="O931" s="113"/>
      <c r="P931" s="113"/>
    </row>
    <row r="932" spans="1:16" ht="13">
      <c r="A932" s="60"/>
      <c r="B932" s="60"/>
      <c r="C932" s="10"/>
      <c r="D932" s="10"/>
      <c r="E932" s="10"/>
      <c r="F932" s="10"/>
      <c r="G932" s="325">
        <v>84</v>
      </c>
      <c r="H932" s="28"/>
      <c r="I932" s="28"/>
      <c r="K932" s="28">
        <v>29</v>
      </c>
      <c r="L932" s="28"/>
      <c r="M932" s="403" t="str">
        <f>HYPERLINK("https://www.youtube.com/watch?v=iXxP_liQklk","Watch - Intro to Greedy")</f>
        <v>Watch - Intro to Greedy</v>
      </c>
      <c r="N932" s="365"/>
      <c r="O932" s="113"/>
      <c r="P932" s="113"/>
    </row>
    <row r="933" spans="1:16" ht="13">
      <c r="A933" s="60"/>
      <c r="B933" s="60"/>
      <c r="C933" s="10"/>
      <c r="D933" s="10"/>
      <c r="E933" s="10"/>
      <c r="F933" s="10"/>
      <c r="G933" s="325"/>
      <c r="H933" s="28"/>
      <c r="I933" s="28"/>
      <c r="K933" s="28">
        <v>30</v>
      </c>
      <c r="L933" s="28"/>
      <c r="M933" s="401" t="str">
        <f>HYPERLINK("https://www.youtube.com/watch?v=Tm_Vlkv4mOo","Watch - Thinking - Concretely - Symbolically - Pictorially ")</f>
        <v xml:space="preserve">Watch - Thinking - Concretely - Symbolically - Pictorially </v>
      </c>
      <c r="N933" s="365"/>
      <c r="O933" s="113"/>
      <c r="P933" s="48"/>
    </row>
    <row r="934" spans="1:16" ht="13">
      <c r="A934" s="60"/>
      <c r="B934" s="60"/>
      <c r="C934" s="10"/>
      <c r="D934" s="10"/>
      <c r="E934" s="10"/>
      <c r="F934" s="10"/>
      <c r="G934" s="325"/>
      <c r="H934" s="28"/>
      <c r="I934" s="28"/>
      <c r="K934" s="28">
        <v>31</v>
      </c>
      <c r="L934" s="28"/>
      <c r="M934" s="392" t="str">
        <f>HYPERLINK("https://www.youtube.com/watch?v=6Fx8T_NBA7Q","Watch - Thinking - Problem Constraints ")</f>
        <v xml:space="preserve">Watch - Thinking - Problem Constraints </v>
      </c>
      <c r="N934" s="365"/>
      <c r="O934" s="113"/>
      <c r="P934" s="194"/>
    </row>
    <row r="935" spans="1:16" ht="13">
      <c r="A935" s="60"/>
      <c r="B935" s="60"/>
      <c r="C935" s="10"/>
      <c r="D935" s="10"/>
      <c r="E935" s="10"/>
      <c r="F935" s="10"/>
      <c r="G935" s="325">
        <v>117</v>
      </c>
      <c r="H935" s="28"/>
      <c r="I935" s="28"/>
      <c r="K935" s="28">
        <v>32</v>
      </c>
      <c r="L935" s="28"/>
      <c r="M935" s="392" t="str">
        <f>HYPERLINK("https://www.youtube.com/watch?v=VZBfW08ECgA","Watch - Number Theory - Primes")</f>
        <v>Watch - Number Theory - Primes</v>
      </c>
      <c r="N935" s="365"/>
      <c r="O935" s="113"/>
      <c r="P935" s="113"/>
    </row>
    <row r="936" spans="1:16" ht="13">
      <c r="A936" s="60"/>
      <c r="B936" s="60"/>
      <c r="C936" s="10"/>
      <c r="D936" s="10"/>
      <c r="E936" s="10"/>
      <c r="F936" s="10"/>
      <c r="G936" s="325"/>
      <c r="H936" s="28"/>
      <c r="I936" s="28"/>
      <c r="K936" s="28">
        <v>33</v>
      </c>
      <c r="L936" s="28"/>
      <c r="M936" s="392" t="str">
        <f>HYPERLINK("https://www.youtube.com/watch?v=jxvaNAthWRI","Watch - Algebra - Number Bases and Polynomials")</f>
        <v>Watch - Algebra - Number Bases and Polynomials</v>
      </c>
      <c r="N936" s="365"/>
      <c r="O936" s="113"/>
      <c r="P936" s="110"/>
    </row>
    <row r="937" spans="1:16" ht="13">
      <c r="A937" s="60"/>
      <c r="B937" s="60"/>
      <c r="C937" s="10"/>
      <c r="D937" s="10"/>
      <c r="E937" s="10"/>
      <c r="F937" s="10"/>
      <c r="G937" s="325"/>
      <c r="H937" s="28"/>
      <c r="I937" s="28"/>
      <c r="K937" s="28">
        <v>34</v>
      </c>
      <c r="L937" s="28"/>
      <c r="M937" s="392" t="str">
        <f>HYPERLINK("https://www.youtube.com/watch?v=O2SPaQXYHFc","Watch - Algebra - Patterns in Sequences")</f>
        <v>Watch - Algebra - Patterns in Sequences</v>
      </c>
      <c r="N937" s="365"/>
      <c r="O937" s="113"/>
      <c r="P937" s="113"/>
    </row>
    <row r="938" spans="1:16" ht="13">
      <c r="A938" s="60"/>
      <c r="B938" s="60"/>
      <c r="C938" s="10"/>
      <c r="D938" s="10"/>
      <c r="E938" s="10"/>
      <c r="F938" s="10"/>
      <c r="G938" s="325">
        <v>118</v>
      </c>
      <c r="H938" s="28"/>
      <c r="I938" s="28"/>
      <c r="K938" s="28">
        <v>35</v>
      </c>
      <c r="L938" s="28"/>
      <c r="M938" s="392" t="str">
        <f>HYPERLINK("https://www.youtube.com/watch?v=xY8To84R87Y","Watch - Algebra - Summations")</f>
        <v>Watch - Algebra - Summations</v>
      </c>
      <c r="N938" s="365"/>
      <c r="O938" s="113"/>
      <c r="P938" s="110"/>
    </row>
    <row r="939" spans="1:16" ht="13">
      <c r="A939" s="60"/>
      <c r="B939" s="60"/>
      <c r="C939" s="10"/>
      <c r="D939" s="10"/>
      <c r="E939" s="10"/>
      <c r="F939" s="10"/>
      <c r="G939" s="325"/>
      <c r="H939" s="28"/>
      <c r="I939" s="28"/>
      <c r="K939" s="28">
        <v>36</v>
      </c>
      <c r="L939" s="28"/>
      <c r="M939" s="392" t="str">
        <f>HYPERLINK("https://www.youtube.com/watch?v=OcqD14kI3Wk","Watch - Algebra - Basic Matrix Operations")</f>
        <v>Watch - Algebra - Basic Matrix Operations</v>
      </c>
      <c r="N939" s="365"/>
      <c r="O939" s="113"/>
      <c r="P939" s="110"/>
    </row>
    <row r="940" spans="1:16" ht="13">
      <c r="A940" s="60"/>
      <c r="B940" s="60"/>
      <c r="C940" s="10"/>
      <c r="D940" s="10"/>
      <c r="E940" s="10"/>
      <c r="F940" s="10"/>
      <c r="G940" s="325"/>
      <c r="H940" s="28"/>
      <c r="I940" s="28"/>
      <c r="K940" s="28">
        <v>37</v>
      </c>
      <c r="L940" s="28"/>
      <c r="M940" s="392" t="str">
        <f>HYPERLINK("https://www.youtube.com/watch?v=F0hmrbOW8nw","Watch - Thinking - Problem Abstraction ")</f>
        <v xml:space="preserve">Watch - Thinking - Problem Abstraction </v>
      </c>
      <c r="N940" s="365"/>
      <c r="O940" s="113"/>
      <c r="P940" s="113"/>
    </row>
    <row r="941" spans="1:16" ht="13">
      <c r="A941" s="60"/>
      <c r="B941" s="60"/>
      <c r="C941" s="10"/>
      <c r="D941" s="10"/>
      <c r="E941" s="10"/>
      <c r="F941" s="10"/>
      <c r="G941" s="323"/>
      <c r="H941" s="28"/>
      <c r="I941" s="28"/>
      <c r="K941" s="28">
        <v>38</v>
      </c>
      <c r="L941" s="28"/>
      <c r="M941" s="392" t="str">
        <f>HYPERLINK("https://www.youtube.com/watch?v=0wlc8Rhyybo","Watch - Thinking - Problem Reverse")</f>
        <v>Watch - Thinking - Problem Reverse</v>
      </c>
      <c r="N941" s="365"/>
      <c r="O941" s="113"/>
      <c r="P941" s="328"/>
    </row>
    <row r="942" spans="1:16" ht="13">
      <c r="A942" s="60"/>
      <c r="B942" s="60"/>
      <c r="C942" s="10"/>
      <c r="D942" s="10"/>
      <c r="E942" s="10"/>
      <c r="F942" s="10"/>
      <c r="G942" s="325">
        <v>3</v>
      </c>
      <c r="H942" s="28"/>
      <c r="I942" s="28"/>
      <c r="K942" s="28">
        <v>39</v>
      </c>
      <c r="L942" s="28"/>
      <c r="M942" s="401" t="str">
        <f>HYPERLINK("https://www.youtube.com/watch?v=hLXVhRzqq18","Watch - Search Techniques - Backtracking")</f>
        <v>Watch - Search Techniques - Backtracking</v>
      </c>
      <c r="N942" s="365"/>
      <c r="O942" s="113"/>
      <c r="P942" s="114"/>
    </row>
    <row r="943" spans="1:16" ht="13">
      <c r="A943" s="60"/>
      <c r="B943" s="60"/>
      <c r="C943" s="10"/>
      <c r="D943" s="10"/>
      <c r="E943" s="10"/>
      <c r="F943" s="10"/>
      <c r="G943" s="325"/>
      <c r="H943" s="28"/>
      <c r="I943" s="28"/>
      <c r="K943" s="28">
        <v>40</v>
      </c>
      <c r="L943" s="28"/>
      <c r="M943" s="127" t="str">
        <f>HYPERLINK("https://www.youtube.com/watch?v=ldwGf-iVsdU&amp;t=2s&amp;list=PLPt2dINI2MIZPFq6HyUB1Uhxdh1UDnZMS","Review bitmasking")</f>
        <v>Review bitmasking</v>
      </c>
      <c r="N943" s="332"/>
      <c r="O943" s="113"/>
      <c r="P943" s="113"/>
    </row>
    <row r="944" spans="1:16" ht="13">
      <c r="A944" s="60"/>
      <c r="B944" s="60"/>
      <c r="C944" s="10"/>
      <c r="D944" s="10"/>
      <c r="E944" s="10"/>
      <c r="F944" s="10"/>
      <c r="G944" s="323">
        <v>10</v>
      </c>
      <c r="H944" s="28"/>
      <c r="I944" s="28"/>
      <c r="K944" s="28">
        <v>41</v>
      </c>
      <c r="L944" s="28"/>
      <c r="M944" s="401" t="str">
        <f>HYPERLINK("https://www.youtube.com/watch?v=vAqaki1BhS0","Watch - DP - Subset Style")</f>
        <v>Watch - DP - Subset Style</v>
      </c>
      <c r="N944" s="365"/>
      <c r="O944" s="113"/>
      <c r="P944" s="328"/>
    </row>
    <row r="945" spans="1:17" ht="13">
      <c r="A945" s="60"/>
      <c r="B945" s="60"/>
      <c r="C945" s="10"/>
      <c r="D945" s="10"/>
      <c r="E945" s="10"/>
      <c r="F945" s="10"/>
      <c r="G945" s="325">
        <v>32</v>
      </c>
      <c r="H945" s="28"/>
      <c r="I945" s="28"/>
      <c r="K945" s="28">
        <v>42</v>
      </c>
      <c r="L945" s="28"/>
      <c r="M945" s="401" t="str">
        <f>HYPERLINK("https://www.youtube.com/watch?v=bDlAqeWsKsg","Watch - DP - Consecutive Ranges Style")</f>
        <v>Watch - DP - Consecutive Ranges Style</v>
      </c>
      <c r="N945" s="365"/>
      <c r="O945" s="113"/>
      <c r="P945" s="113"/>
    </row>
    <row r="946" spans="1:17" ht="13">
      <c r="A946" s="60"/>
      <c r="B946" s="60"/>
      <c r="C946" s="10"/>
      <c r="D946" s="10"/>
      <c r="E946" s="10"/>
      <c r="F946" s="10"/>
      <c r="G946" s="325">
        <v>32</v>
      </c>
      <c r="H946" s="28"/>
      <c r="I946" s="28"/>
      <c r="K946" s="28">
        <v>43</v>
      </c>
      <c r="L946" s="28"/>
      <c r="M946" s="401" t="str">
        <f>HYPERLINK("https://www.youtube.com/watch?v=b4AC2jGNGEM","Watch - DP - Nested Ranges Style")</f>
        <v>Watch - DP - Nested Ranges Style</v>
      </c>
      <c r="N946" s="365"/>
      <c r="O946" s="113"/>
      <c r="P946" s="314"/>
    </row>
    <row r="947" spans="1:17" ht="13">
      <c r="A947" s="60"/>
      <c r="B947" s="60"/>
      <c r="C947" s="10"/>
      <c r="D947" s="10"/>
      <c r="E947" s="10"/>
      <c r="F947" s="10"/>
      <c r="G947" s="325">
        <v>32</v>
      </c>
      <c r="H947" s="28"/>
      <c r="I947" s="28"/>
      <c r="K947" s="28">
        <v>44</v>
      </c>
      <c r="L947" s="28"/>
      <c r="M947" s="392" t="str">
        <f>HYPERLINK("https://www.youtube.com/watch?v=pJbeTrSKl3Y","Watch - DP - General Ranges Style")</f>
        <v>Watch - DP - General Ranges Style</v>
      </c>
      <c r="N947" s="365"/>
      <c r="O947" s="113"/>
      <c r="P947" s="332"/>
    </row>
    <row r="948" spans="1:17" ht="13">
      <c r="A948" s="60"/>
      <c r="B948" s="60"/>
      <c r="C948" s="10"/>
      <c r="D948" s="10"/>
      <c r="E948" s="10"/>
      <c r="F948" s="10"/>
      <c r="G948" s="325"/>
      <c r="H948" s="28"/>
      <c r="I948" s="28"/>
      <c r="K948" s="28">
        <v>45</v>
      </c>
      <c r="L948" s="28"/>
      <c r="M948" s="392" t="str">
        <f>HYPERLINK("https://www.youtube.com/watch?v=5zILiqyQ2ts","Watch - Thinking - Incrementally")</f>
        <v>Watch - Thinking - Incrementally</v>
      </c>
      <c r="N948" s="365"/>
      <c r="O948" s="113"/>
      <c r="P948" s="113"/>
    </row>
    <row r="949" spans="1:17" ht="13">
      <c r="A949" s="60"/>
      <c r="B949" s="60"/>
      <c r="C949" s="10"/>
      <c r="D949" s="10"/>
      <c r="E949" s="10"/>
      <c r="F949" s="10"/>
      <c r="G949" s="325"/>
      <c r="H949" s="28"/>
      <c r="I949" s="28"/>
      <c r="K949" s="28">
        <v>46</v>
      </c>
      <c r="L949" s="28"/>
      <c r="M949" s="392" t="str">
        <f>HYPERLINK("https://www.youtube.com/watch?v=9fwHOeebIgc","Watch - Thinking - Problem Domain re-interpretation")</f>
        <v>Watch - Thinking - Problem Domain re-interpretation</v>
      </c>
      <c r="N949" s="365"/>
      <c r="O949" s="113"/>
      <c r="P949" s="113"/>
    </row>
    <row r="950" spans="1:17" ht="13">
      <c r="A950" s="60"/>
      <c r="B950" s="60"/>
      <c r="C950" s="10"/>
      <c r="D950" s="10"/>
      <c r="E950" s="10"/>
      <c r="F950" s="10"/>
      <c r="G950" s="325">
        <v>95</v>
      </c>
      <c r="H950" s="28"/>
      <c r="I950" s="28"/>
      <c r="K950" s="28">
        <v>47</v>
      </c>
      <c r="L950" s="28"/>
      <c r="M950" s="392" t="str">
        <f>HYPERLINK("https://www.youtube.com/watch?v=-5ApOQDhBtU","Watch - Number Theory - Factorization")</f>
        <v>Watch - Number Theory - Factorization</v>
      </c>
      <c r="N950" s="365"/>
      <c r="O950" s="113"/>
      <c r="P950" s="113"/>
    </row>
    <row r="951" spans="1:17" ht="13">
      <c r="A951" s="60"/>
      <c r="B951" s="60"/>
      <c r="C951" s="10"/>
      <c r="D951" s="10"/>
      <c r="E951" s="10"/>
      <c r="F951" s="10"/>
      <c r="G951" s="323">
        <v>113</v>
      </c>
      <c r="H951" s="28"/>
      <c r="I951" s="28"/>
      <c r="K951" s="28">
        <v>48</v>
      </c>
      <c r="L951" s="28"/>
      <c r="M951" s="402" t="str">
        <f>HYPERLINK("https://www.youtube.com/playlist?list=PLC58778F28211FA19","Watch - Probability - First 9 videos")</f>
        <v>Watch - Probability - First 9 videos</v>
      </c>
      <c r="N951" s="365"/>
      <c r="O951" s="113"/>
      <c r="P951" s="327"/>
    </row>
    <row r="952" spans="1:17" ht="13">
      <c r="A952" s="60"/>
      <c r="B952" s="60"/>
      <c r="C952" s="10"/>
      <c r="D952" s="10"/>
      <c r="E952" s="10"/>
      <c r="F952" s="10"/>
      <c r="G952" s="325"/>
      <c r="H952" s="28"/>
      <c r="I952" s="28"/>
      <c r="K952" s="28">
        <v>49</v>
      </c>
      <c r="L952" s="28"/>
      <c r="M952" s="392" t="str">
        <f>HYPERLINK("https://www.youtube.com/watch?v=YUIwEX8UEN0","Watch - Thinking - Search Space and Output Analysis")</f>
        <v>Watch - Thinking - Search Space and Output Analysis</v>
      </c>
      <c r="N952" s="365"/>
      <c r="O952" s="113"/>
      <c r="P952" s="113"/>
      <c r="Q952" s="113"/>
    </row>
    <row r="953" spans="1:17" ht="13">
      <c r="A953" s="60"/>
      <c r="B953" s="60"/>
      <c r="C953" s="10"/>
      <c r="D953" s="10"/>
      <c r="E953" s="10"/>
      <c r="F953" s="10"/>
      <c r="G953" s="325"/>
      <c r="H953" s="28"/>
      <c r="I953" s="28"/>
      <c r="K953" s="28">
        <v>50</v>
      </c>
      <c r="L953" s="28"/>
      <c r="M953" s="401" t="str">
        <f>HYPERLINK("https://www.youtube.com/watch?v=TP8QXP6PBqM","Watch - Thinking - Observations Discovery ")</f>
        <v xml:space="preserve">Watch - Thinking - Observations Discovery </v>
      </c>
      <c r="N953" s="365"/>
      <c r="O953" s="113"/>
      <c r="P953" s="314"/>
      <c r="Q953" s="314"/>
    </row>
    <row r="954" spans="1:17" ht="13">
      <c r="A954" s="60"/>
      <c r="B954" s="60"/>
      <c r="C954" s="10"/>
      <c r="D954" s="10"/>
      <c r="E954" s="10"/>
      <c r="F954" s="10"/>
      <c r="G954" s="325">
        <v>41</v>
      </c>
      <c r="H954" s="28"/>
      <c r="I954" s="28"/>
      <c r="K954" s="28">
        <v>51</v>
      </c>
      <c r="L954" s="28"/>
      <c r="M954" s="401" t="str">
        <f>HYPERLINK("https://www.youtube.com/watch?v=rdUs4FGkgRo","Watch - Game Theory - Intro")</f>
        <v>Watch - Game Theory - Intro</v>
      </c>
      <c r="N954" s="365"/>
      <c r="O954" s="113"/>
      <c r="P954" s="334"/>
      <c r="Q954" s="334"/>
    </row>
    <row r="955" spans="1:17" ht="13">
      <c r="A955" s="60"/>
      <c r="B955" s="60"/>
      <c r="C955" s="10"/>
      <c r="D955" s="10"/>
      <c r="E955" s="10"/>
      <c r="F955" s="10"/>
      <c r="G955" s="325"/>
      <c r="H955" s="28"/>
      <c r="I955" s="28"/>
      <c r="K955" s="28">
        <v>52</v>
      </c>
      <c r="L955" s="28"/>
      <c r="M955" s="401" t="str">
        <f>HYPERLINK("https://www.youtube.com/watch?v=fT4JZU5hO58","Watch - Thinking - Misc - Solution Verification - Implementation")</f>
        <v>Watch - Thinking - Misc - Solution Verification - Implementation</v>
      </c>
      <c r="N955" s="365"/>
      <c r="O955" s="113"/>
      <c r="P955" s="110"/>
      <c r="Q955" s="110"/>
    </row>
    <row r="956" spans="1:17" ht="13">
      <c r="A956" s="60"/>
      <c r="B956" s="60"/>
      <c r="C956" s="10"/>
      <c r="D956" s="10"/>
      <c r="E956" s="10"/>
      <c r="F956" s="10"/>
      <c r="G956" s="335">
        <v>64</v>
      </c>
      <c r="H956" s="28"/>
      <c r="I956" s="28"/>
      <c r="K956" s="28">
        <v>53</v>
      </c>
      <c r="L956" s="28"/>
      <c r="M956" s="394" t="str">
        <f>HYPERLINK("https://www.youtube.com/watch?v=6GzxGabB5MI","Watch - Graph Theory - Dijkstra")</f>
        <v>Watch - Graph Theory - Dijkstra</v>
      </c>
      <c r="N956" s="365"/>
      <c r="O956" s="113"/>
      <c r="P956" s="47"/>
      <c r="Q956" s="47"/>
    </row>
    <row r="957" spans="1:17" ht="13">
      <c r="A957" s="60"/>
      <c r="B957" s="60"/>
      <c r="C957" s="10"/>
      <c r="D957" s="10"/>
      <c r="E957" s="10"/>
      <c r="F957" s="10"/>
      <c r="G957" s="325">
        <v>48</v>
      </c>
      <c r="H957" s="28"/>
      <c r="I957" s="28"/>
      <c r="K957" s="28">
        <v>54</v>
      </c>
      <c r="L957" s="28"/>
      <c r="M957" s="392" t="str">
        <f>HYPERLINK("https://www.youtube.com/watch?v=k5fDfC9vfWM","Watch - Computational Geometry - Lines Intersections")</f>
        <v>Watch - Computational Geometry - Lines Intersections</v>
      </c>
      <c r="N957" s="365"/>
      <c r="O957" s="113"/>
      <c r="P957" s="110"/>
      <c r="Q957" s="110"/>
    </row>
    <row r="958" spans="1:17" ht="13">
      <c r="A958" s="60"/>
      <c r="B958" s="60"/>
      <c r="C958" s="10"/>
      <c r="D958" s="10"/>
      <c r="E958" s="10"/>
      <c r="F958" s="10"/>
      <c r="G958" s="325">
        <v>47</v>
      </c>
      <c r="H958" s="28"/>
      <c r="I958" s="28"/>
      <c r="K958" s="28">
        <v>55</v>
      </c>
      <c r="L958" s="28"/>
      <c r="M958" s="392" t="str">
        <f>HYPERLINK("https://www.youtube.com/watch?v=Fa69kqT9NPY","Watch - Computational Geometry - Circles")</f>
        <v>Watch - Computational Geometry - Circles</v>
      </c>
      <c r="N958" s="365"/>
      <c r="O958" s="113"/>
      <c r="P958" s="314"/>
      <c r="Q958" s="314"/>
    </row>
    <row r="959" spans="1:17" ht="13">
      <c r="A959" s="60"/>
      <c r="B959" s="60"/>
      <c r="C959" s="10"/>
      <c r="D959" s="10"/>
      <c r="E959" s="10"/>
      <c r="F959" s="10"/>
      <c r="G959" s="325"/>
      <c r="H959" s="28"/>
      <c r="I959" s="28"/>
      <c r="K959" s="28">
        <v>56</v>
      </c>
      <c r="L959" s="28"/>
      <c r="M959" s="401" t="str">
        <f>HYPERLINK("https://www.youtube.com/watch?v=uKSLJw0ZUd8","Watch - Thinking - Error Inspection - History - Contest Strategy ")</f>
        <v xml:space="preserve">Watch - Thinking - Error Inspection - History - Contest Strategy </v>
      </c>
      <c r="N959" s="365"/>
      <c r="O959" s="113"/>
      <c r="P959" s="113"/>
    </row>
    <row r="960" spans="1:17" ht="13">
      <c r="A960" s="60"/>
      <c r="B960" s="60"/>
      <c r="C960" s="10"/>
      <c r="D960" s="10"/>
      <c r="E960" s="10"/>
      <c r="F960" s="10"/>
      <c r="G960" s="325">
        <v>15</v>
      </c>
      <c r="H960" s="28"/>
      <c r="I960" s="28"/>
      <c r="K960" s="28">
        <v>57</v>
      </c>
      <c r="L960" s="28"/>
      <c r="M960" s="392" t="str">
        <f>HYPERLINK("https://www.youtube.com/watch?v=s3IGwpJwCTA","Watch - DP - Building Output")</f>
        <v>Watch - DP - Building Output</v>
      </c>
      <c r="N960" s="365"/>
      <c r="O960" s="113"/>
      <c r="P960" s="113"/>
    </row>
    <row r="961" spans="1:17" ht="13">
      <c r="A961" s="60"/>
      <c r="B961" s="60"/>
      <c r="C961" s="10"/>
      <c r="D961" s="10"/>
      <c r="E961" s="10"/>
      <c r="F961" s="10"/>
      <c r="G961" s="325">
        <v>18</v>
      </c>
      <c r="H961" s="28"/>
      <c r="I961" s="28"/>
      <c r="K961" s="28">
        <v>58</v>
      </c>
      <c r="L961" s="28"/>
      <c r="M961" s="392" t="str">
        <f>HYPERLINK("https://www.youtube.com/watch?v=lE09Ss_Sy0A","Watch - DP - Counting")</f>
        <v>Watch - DP - Counting</v>
      </c>
      <c r="N961" s="365"/>
      <c r="O961" s="113"/>
      <c r="P961" s="47"/>
    </row>
    <row r="962" spans="1:17" ht="13">
      <c r="A962" s="60"/>
      <c r="B962" s="60"/>
      <c r="C962" s="10"/>
      <c r="D962" s="10"/>
      <c r="E962" s="10"/>
      <c r="F962" s="10"/>
      <c r="G962" s="325"/>
      <c r="H962" s="28"/>
      <c r="I962" s="28"/>
      <c r="K962" s="28">
        <v>59</v>
      </c>
      <c r="L962" s="28"/>
      <c r="M962" s="392" t="str">
        <f>HYPERLINK("https://www.youtube.com/watch?v=f_lt366qTZc","Watch - Thinking - Let's Put All Together ")</f>
        <v xml:space="preserve">Watch - Thinking - Let's Put All Together </v>
      </c>
      <c r="N962" s="365"/>
      <c r="O962" s="113"/>
      <c r="P962" s="110"/>
      <c r="Q962" s="110"/>
    </row>
    <row r="963" spans="1:17" ht="13">
      <c r="A963" s="60"/>
      <c r="B963" s="60"/>
      <c r="C963" s="10"/>
      <c r="D963" s="10"/>
      <c r="E963" s="10"/>
      <c r="F963" s="10"/>
      <c r="G963" s="325">
        <v>37</v>
      </c>
      <c r="H963" s="28"/>
      <c r="I963" s="28"/>
      <c r="K963" s="28">
        <v>60</v>
      </c>
      <c r="L963" s="28"/>
      <c r="M963" s="392" t="str">
        <f>HYPERLINK("https://www.youtube.com/watch?v=PrXbn8-zw14","Watch - DP - Table Method")</f>
        <v>Watch - DP - Table Method</v>
      </c>
      <c r="N963" s="365"/>
      <c r="O963" s="113"/>
      <c r="P963" s="110"/>
      <c r="Q963" s="110"/>
    </row>
    <row r="964" spans="1:17" ht="13">
      <c r="A964" s="60"/>
      <c r="B964" s="60"/>
      <c r="C964" s="10"/>
      <c r="D964" s="10"/>
      <c r="E964" s="10"/>
      <c r="F964" s="10"/>
      <c r="G964" s="325">
        <v>68</v>
      </c>
      <c r="H964" s="28"/>
      <c r="I964" s="28"/>
      <c r="K964" s="28">
        <v>61</v>
      </c>
      <c r="L964" s="28"/>
      <c r="M964" s="392" t="str">
        <f>HYPERLINK("https://www.youtube.com/watch?v=ZIJLCVn4KzQ","Watch - Graph Theory - Floyd Warshal")</f>
        <v>Watch - Graph Theory - Floyd Warshal</v>
      </c>
      <c r="N964" s="365"/>
      <c r="O964" s="113"/>
      <c r="P964" s="113"/>
      <c r="Q964" s="113"/>
    </row>
    <row r="965" spans="1:17" ht="13">
      <c r="A965" s="60"/>
      <c r="B965" s="60"/>
      <c r="C965" s="10"/>
      <c r="D965" s="10"/>
      <c r="E965" s="10"/>
      <c r="F965" s="10"/>
      <c r="G965" s="325"/>
      <c r="H965" s="28"/>
      <c r="I965" s="28"/>
      <c r="K965" s="28">
        <v>62</v>
      </c>
      <c r="L965" s="28"/>
      <c r="M965" s="392" t="str">
        <f>HYPERLINK("https://www.youtube.com/watch?v=ZNYQrKpR42g","Watch - Measuring Algorithms Perfromance - 2")</f>
        <v>Watch - Measuring Algorithms Perfromance - 2</v>
      </c>
      <c r="N965" s="365"/>
      <c r="O965" s="113"/>
      <c r="P965" s="113"/>
      <c r="Q965" s="113"/>
    </row>
    <row r="966" spans="1:17" ht="13">
      <c r="A966" s="60"/>
      <c r="B966" s="60"/>
      <c r="C966" s="10"/>
      <c r="D966" s="10"/>
      <c r="E966" s="10"/>
      <c r="F966" s="10"/>
      <c r="G966" s="325">
        <v>62</v>
      </c>
      <c r="H966" s="28"/>
      <c r="I966" s="28"/>
      <c r="K966" s="28">
        <v>63</v>
      </c>
      <c r="L966" s="28"/>
      <c r="M966" s="393" t="str">
        <f>HYPERLINK("https://www.youtube.com/watch?v=RASvnfG2SSE","Watch - Graph Theory - Tree Diameter and Isomorphism")</f>
        <v>Watch - Graph Theory - Tree Diameter and Isomorphism</v>
      </c>
      <c r="N966" s="365"/>
      <c r="O966" s="113"/>
      <c r="P966" s="110"/>
      <c r="Q966" s="110"/>
    </row>
    <row r="967" spans="1:17" ht="13">
      <c r="A967" s="60"/>
      <c r="B967" s="60"/>
      <c r="C967" s="10"/>
      <c r="D967" s="10"/>
      <c r="E967" s="10"/>
      <c r="F967" s="10"/>
      <c r="G967" s="325">
        <v>114</v>
      </c>
      <c r="H967" s="28"/>
      <c r="I967" s="28"/>
      <c r="K967" s="28">
        <v>64</v>
      </c>
      <c r="L967" s="28"/>
      <c r="M967" s="119" t="str">
        <f>HYPERLINK("https://www.youtube.com/watch?v=j__Kredt7vY","Watch Video - Expected Value")</f>
        <v>Watch Video - Expected Value</v>
      </c>
      <c r="N967" s="314"/>
      <c r="O967" s="113"/>
      <c r="P967" s="110"/>
      <c r="Q967" s="110"/>
    </row>
    <row r="968" spans="1:17" ht="13">
      <c r="A968" s="60"/>
      <c r="B968" s="60"/>
      <c r="C968" s="10"/>
      <c r="D968" s="10"/>
      <c r="E968" s="10"/>
      <c r="F968" s="10"/>
      <c r="G968" s="325" t="s">
        <v>1797</v>
      </c>
      <c r="H968" s="28"/>
      <c r="I968" s="28"/>
      <c r="K968" s="28">
        <v>65</v>
      </c>
      <c r="L968" s="28"/>
      <c r="M968" s="395" t="str">
        <f>HYPERLINK("https://www.youtube.com/watch?v=OLu5oskGGqw&amp;list=PLPt2dINI2MIZX2EtY81WI-lDkvhKziLKM&amp;index=11","Watch - Data Structures - Segment Tree (2 vid)")</f>
        <v>Watch - Data Structures - Segment Tree (2 vid)</v>
      </c>
      <c r="N968" s="365"/>
      <c r="O968" s="113"/>
      <c r="P968" s="48"/>
      <c r="Q968" s="48"/>
    </row>
    <row r="969" spans="1:17" ht="13">
      <c r="A969" s="60"/>
      <c r="B969" s="60"/>
      <c r="C969" s="10"/>
      <c r="D969" s="10"/>
      <c r="E969" s="10"/>
      <c r="F969" s="10"/>
      <c r="G969" s="325">
        <v>38</v>
      </c>
      <c r="H969" s="28"/>
      <c r="I969" s="28"/>
      <c r="K969" s="28">
        <v>66</v>
      </c>
      <c r="L969" s="28"/>
      <c r="M969" s="209" t="str">
        <f>HYPERLINK("https://codeforces.com/blog/entry/20935","Reading: DP on Trees")</f>
        <v>Reading: DP on Trees</v>
      </c>
      <c r="N969" s="332"/>
      <c r="O969" s="113"/>
      <c r="P969" s="113"/>
      <c r="Q969" s="113"/>
    </row>
    <row r="970" spans="1:17" ht="13">
      <c r="A970" s="60"/>
      <c r="B970" s="60"/>
      <c r="C970" s="10"/>
      <c r="D970" s="10"/>
      <c r="E970" s="10"/>
      <c r="F970" s="10"/>
      <c r="G970" s="325">
        <v>138</v>
      </c>
      <c r="H970" s="28"/>
      <c r="I970" s="28"/>
      <c r="K970" s="28">
        <v>67</v>
      </c>
      <c r="L970" s="28"/>
      <c r="M970" s="400" t="str">
        <f>HYPERLINK("https://www.youtube.com/watch?v=n-Xwrr8RFQ0","Watch - Two pointers technique")</f>
        <v>Watch - Two pointers technique</v>
      </c>
      <c r="N970" s="365"/>
      <c r="O970" s="113"/>
      <c r="P970" s="113"/>
      <c r="Q970" s="113"/>
    </row>
    <row r="971" spans="1:17" ht="13">
      <c r="A971" s="60"/>
      <c r="B971" s="60"/>
      <c r="C971" s="10"/>
      <c r="D971" s="10"/>
      <c r="E971" s="10"/>
      <c r="F971" s="10"/>
      <c r="G971" s="325">
        <v>29</v>
      </c>
      <c r="H971" s="28"/>
      <c r="I971" s="28"/>
      <c r="K971" s="28">
        <v>68</v>
      </c>
      <c r="L971" s="28"/>
      <c r="M971" s="396" t="str">
        <f>HYPERLINK("https://www.youtube.com/watch?v=nv6Z6n02Oi0","Watch - DP - Probability")</f>
        <v>Watch - DP - Probability</v>
      </c>
      <c r="N971" s="365"/>
      <c r="O971" s="113"/>
      <c r="P971" s="113"/>
      <c r="Q971" s="113"/>
    </row>
    <row r="972" spans="1:17" ht="13">
      <c r="A972" s="60"/>
      <c r="B972" s="60"/>
      <c r="C972" s="10"/>
      <c r="D972" s="10"/>
      <c r="E972" s="10"/>
      <c r="F972" s="10"/>
      <c r="G972" s="325">
        <v>11</v>
      </c>
      <c r="H972" s="28"/>
      <c r="I972" s="28"/>
      <c r="K972" s="28">
        <v>69</v>
      </c>
      <c r="L972" s="28"/>
      <c r="M972" s="396" t="str">
        <f>HYPERLINK("https://www.youtube.com/watch?v=8aATaY9sdeE&amp;index=10&amp;list=PLPt2dINI2MIattDutu7IOAMlUuLeN8k2p&amp;t=3s","Watch - DP - Masks (2 vid)")</f>
        <v>Watch - DP - Masks (2 vid)</v>
      </c>
      <c r="N972" s="365"/>
      <c r="O972" s="113"/>
      <c r="P972" s="113"/>
      <c r="Q972" s="113"/>
    </row>
    <row r="973" spans="1:17" ht="13">
      <c r="A973" s="60"/>
      <c r="B973" s="60"/>
      <c r="C973" s="10"/>
      <c r="D973" s="10"/>
      <c r="E973" s="10"/>
      <c r="F973" s="10"/>
      <c r="G973" s="325">
        <v>135</v>
      </c>
      <c r="H973" s="28"/>
      <c r="I973" s="28"/>
      <c r="K973" s="28">
        <v>70</v>
      </c>
      <c r="L973" s="28"/>
      <c r="M973" s="396" t="str">
        <f>HYPERLINK("https://www.youtube.com/watch?v=IGaJWl0jPY4","Watch - String Processing - Trie")</f>
        <v>Watch - String Processing - Trie</v>
      </c>
      <c r="N973" s="365"/>
      <c r="O973" s="113"/>
      <c r="P973" s="110"/>
      <c r="Q973" s="110"/>
    </row>
    <row r="974" spans="1:17" ht="13">
      <c r="A974" s="60"/>
      <c r="B974" s="60"/>
      <c r="C974" s="10"/>
      <c r="D974" s="10"/>
      <c r="E974" s="10"/>
      <c r="F974" s="10"/>
      <c r="G974" s="325">
        <v>36</v>
      </c>
      <c r="H974" s="28"/>
      <c r="I974" s="28"/>
      <c r="K974" s="28">
        <v>71</v>
      </c>
      <c r="L974" s="28"/>
      <c r="M974" s="393" t="str">
        <f>HYPERLINK("https://www.youtube.com/watch?v=t-52tQ3vEgo","Watch - DP - Sub-rectangle style")</f>
        <v>Watch - DP - Sub-rectangle style</v>
      </c>
      <c r="N974" s="365"/>
      <c r="O974" s="113"/>
      <c r="P974" s="113"/>
      <c r="Q974" s="113"/>
    </row>
    <row r="975" spans="1:17" ht="13">
      <c r="A975" s="60"/>
      <c r="B975" s="60"/>
      <c r="C975" s="10"/>
      <c r="D975" s="10"/>
      <c r="E975" s="10"/>
      <c r="F975" s="10"/>
      <c r="G975" s="325">
        <v>130</v>
      </c>
      <c r="H975" s="28"/>
      <c r="I975" s="28"/>
      <c r="K975" s="28">
        <v>72</v>
      </c>
      <c r="L975" s="28"/>
      <c r="M975" s="395" t="str">
        <f>HYPERLINK("https://www.youtube.com/watch?v=vjxLlFTKhrU&amp;index=2&amp;list=PLPt2dINI2MIYrtHBahPW16S-Wz9wx24Nc","Watch - String Processing - KMP (2 vid)")</f>
        <v>Watch - String Processing - KMP (2 vid)</v>
      </c>
      <c r="N975" s="365"/>
      <c r="O975" s="113"/>
      <c r="P975" s="114"/>
      <c r="Q975" s="114"/>
    </row>
    <row r="976" spans="1:17" ht="13">
      <c r="A976" s="60"/>
      <c r="B976" s="60"/>
      <c r="C976" s="10"/>
      <c r="D976" s="10"/>
      <c r="E976" s="10"/>
      <c r="F976" s="10"/>
      <c r="G976" s="323">
        <v>23</v>
      </c>
      <c r="H976" s="28"/>
      <c r="I976" s="28"/>
      <c r="K976" s="28">
        <v>73</v>
      </c>
      <c r="L976" s="28"/>
      <c r="M976" s="395" t="str">
        <f>HYPERLINK("https://www.youtube.com/watch?v=X-cMRvuTGuM&amp;list=PLPt2dINI2MIattDutu7IOAMlUuLeN8k2p&amp;index=19","Watch - DP - Games (2 vid)")</f>
        <v>Watch - DP - Games (2 vid)</v>
      </c>
      <c r="N976" s="365"/>
      <c r="O976" s="113"/>
      <c r="P976" s="336"/>
      <c r="Q976" s="336"/>
    </row>
    <row r="977" spans="1:17" ht="13">
      <c r="A977" s="10"/>
      <c r="B977" s="10"/>
      <c r="C977" s="10"/>
      <c r="D977" s="10"/>
      <c r="E977" s="10"/>
      <c r="F977" s="10"/>
      <c r="G977" s="323">
        <v>49</v>
      </c>
      <c r="H977" s="28"/>
      <c r="I977" s="28"/>
      <c r="K977" s="28">
        <v>74</v>
      </c>
      <c r="L977" s="28"/>
      <c r="M977" s="397" t="str">
        <f>HYPERLINK("https://www.youtube.com/watch?v=OnysyxVPPD0","Watch - Computational Geometry - Simple and Convex Polygons")</f>
        <v>Watch - Computational Geometry - Simple and Convex Polygons</v>
      </c>
      <c r="N977" s="365"/>
      <c r="O977" s="113"/>
      <c r="P977" s="145"/>
      <c r="Q977" s="10"/>
    </row>
    <row r="978" spans="1:17" ht="13">
      <c r="A978" s="60"/>
      <c r="B978" s="60"/>
      <c r="C978" s="10"/>
      <c r="D978" s="10"/>
      <c r="E978" s="10"/>
      <c r="F978" s="10"/>
      <c r="G978" s="325">
        <v>49</v>
      </c>
      <c r="H978" s="28"/>
      <c r="I978" s="28"/>
      <c r="K978" s="28">
        <v>75</v>
      </c>
      <c r="L978" s="28"/>
      <c r="M978" s="398" t="str">
        <f>HYPERLINK("http://w.youtube.com/watch?v=Cce_O7EKv2Y","Watch - Computational Geometry - Polygon Area - Centroid - Cut")</f>
        <v>Watch - Computational Geometry - Polygon Area - Centroid - Cut</v>
      </c>
      <c r="N978" s="365"/>
      <c r="O978" s="113"/>
      <c r="P978" s="113"/>
    </row>
    <row r="979" spans="1:17" ht="13">
      <c r="A979" s="60"/>
      <c r="B979" s="60"/>
      <c r="C979" s="10"/>
      <c r="D979" s="10"/>
      <c r="E979" s="10"/>
      <c r="F979" s="10"/>
      <c r="G979" s="325">
        <v>49</v>
      </c>
      <c r="H979" s="28"/>
      <c r="I979" s="28"/>
      <c r="K979" s="28">
        <v>76</v>
      </c>
      <c r="L979" s="28"/>
      <c r="M979" s="399" t="str">
        <f>HYPERLINK("https://www.youtube.com/watch?v=I5A6OYH1yuM","Watch - Computational Geometry - Point in polygon")</f>
        <v>Watch - Computational Geometry - Point in polygon</v>
      </c>
      <c r="N979" s="365"/>
      <c r="O979" s="113"/>
      <c r="P979" s="113"/>
    </row>
    <row r="980" spans="1:17" ht="13">
      <c r="A980" s="60"/>
      <c r="B980" s="60"/>
      <c r="C980" s="10"/>
      <c r="D980" s="10"/>
      <c r="E980" s="10"/>
      <c r="F980" s="10"/>
      <c r="G980" s="325" t="s">
        <v>1798</v>
      </c>
      <c r="H980" s="28"/>
      <c r="I980" s="28"/>
      <c r="K980" s="28">
        <v>77</v>
      </c>
      <c r="L980" s="28"/>
      <c r="M980" s="395" t="str">
        <f>HYPERLINK("https://www.youtube.com/watch?v=QuOiEwefssM&amp;t=2s&amp;list=PLPt2dINI2MIb4OXlJ_EEwIDV9WVUpRQ5K&amp;index=16","Watch - Graph Theory - Maximum Flow (2 vid)")</f>
        <v>Watch - Graph Theory - Maximum Flow (2 vid)</v>
      </c>
      <c r="N980" s="365"/>
      <c r="O980" s="113"/>
      <c r="P980" s="113"/>
    </row>
    <row r="981" spans="1:17" ht="13">
      <c r="A981" s="60"/>
      <c r="B981" s="60"/>
      <c r="C981" s="10"/>
      <c r="D981" s="10"/>
      <c r="E981" s="10"/>
      <c r="F981" s="10"/>
      <c r="G981" s="325">
        <v>77</v>
      </c>
      <c r="H981" s="28"/>
      <c r="I981" s="28"/>
      <c r="K981" s="28">
        <v>78</v>
      </c>
      <c r="L981" s="28"/>
      <c r="M981" s="395" t="str">
        <f>HYPERLINK("https://www.youtube.com/watch?v=xVMe4JSEQo0&amp;index=14&amp;list=PLPt2dINI2MIb4OXlJ_EEwIDV9WVUpRQ5K","Watch - Graph Theory - SCC (2 vid)")</f>
        <v>Watch - Graph Theory - SCC (2 vid)</v>
      </c>
      <c r="N981" s="365"/>
      <c r="O981" s="113"/>
      <c r="P981" s="113"/>
    </row>
  </sheetData>
  <mergeCells count="80">
    <mergeCell ref="M918:N918"/>
    <mergeCell ref="M919:N919"/>
    <mergeCell ref="C3:M3"/>
    <mergeCell ref="C4:M4"/>
    <mergeCell ref="C5:M5"/>
    <mergeCell ref="G903:J903"/>
    <mergeCell ref="K903:L903"/>
    <mergeCell ref="M903:N903"/>
    <mergeCell ref="M915:N915"/>
    <mergeCell ref="M916:N916"/>
    <mergeCell ref="M917:N917"/>
    <mergeCell ref="A904:B920"/>
    <mergeCell ref="M920:N920"/>
    <mergeCell ref="M928:N928"/>
    <mergeCell ref="M929:N929"/>
    <mergeCell ref="M930:N930"/>
    <mergeCell ref="M904:N904"/>
    <mergeCell ref="M905:N905"/>
    <mergeCell ref="M906:N906"/>
    <mergeCell ref="M907:N907"/>
    <mergeCell ref="M908:N908"/>
    <mergeCell ref="M909:N909"/>
    <mergeCell ref="M910:N910"/>
    <mergeCell ref="M911:N911"/>
    <mergeCell ref="M912:N912"/>
    <mergeCell ref="M913:N913"/>
    <mergeCell ref="M914:N914"/>
    <mergeCell ref="M931:N931"/>
    <mergeCell ref="M932:N932"/>
    <mergeCell ref="M933:N933"/>
    <mergeCell ref="M934:N934"/>
    <mergeCell ref="M935:N935"/>
    <mergeCell ref="M936:N936"/>
    <mergeCell ref="M937:N937"/>
    <mergeCell ref="M938:N938"/>
    <mergeCell ref="M939:N939"/>
    <mergeCell ref="M940:N940"/>
    <mergeCell ref="M941:N941"/>
    <mergeCell ref="M942:N942"/>
    <mergeCell ref="M944:N944"/>
    <mergeCell ref="M945:N945"/>
    <mergeCell ref="M946:N946"/>
    <mergeCell ref="M947:N947"/>
    <mergeCell ref="M948:N948"/>
    <mergeCell ref="M949:N949"/>
    <mergeCell ref="M950:N950"/>
    <mergeCell ref="M951:N951"/>
    <mergeCell ref="M952:N952"/>
    <mergeCell ref="M953:N953"/>
    <mergeCell ref="M954:N954"/>
    <mergeCell ref="M955:N955"/>
    <mergeCell ref="M956:N956"/>
    <mergeCell ref="M957:N957"/>
    <mergeCell ref="M958:N958"/>
    <mergeCell ref="M959:N959"/>
    <mergeCell ref="M960:N960"/>
    <mergeCell ref="M961:N961"/>
    <mergeCell ref="M962:N962"/>
    <mergeCell ref="M963:N963"/>
    <mergeCell ref="M964:N964"/>
    <mergeCell ref="M965:N965"/>
    <mergeCell ref="M966:N966"/>
    <mergeCell ref="M968:N968"/>
    <mergeCell ref="M970:N970"/>
    <mergeCell ref="M971:N971"/>
    <mergeCell ref="M972:N972"/>
    <mergeCell ref="M980:N980"/>
    <mergeCell ref="M981:N981"/>
    <mergeCell ref="M973:N973"/>
    <mergeCell ref="M974:N974"/>
    <mergeCell ref="M975:N975"/>
    <mergeCell ref="M976:N976"/>
    <mergeCell ref="M977:N977"/>
    <mergeCell ref="M978:N978"/>
    <mergeCell ref="M979:N979"/>
    <mergeCell ref="M922:N922"/>
    <mergeCell ref="M923:N923"/>
    <mergeCell ref="M924:N924"/>
    <mergeCell ref="M926:N926"/>
    <mergeCell ref="M927:N927"/>
  </mergeCells>
  <conditionalFormatting sqref="C3:C981 D244">
    <cfRule type="cellIs" dxfId="7" priority="4" operator="equal">
      <formula>"AC"</formula>
    </cfRule>
    <cfRule type="containsText" dxfId="6" priority="5" operator="containsText" text="WA">
      <formula>NOT(ISERROR(SEARCH(("WA"),(C3))))</formula>
    </cfRule>
    <cfRule type="containsText" dxfId="5" priority="7" operator="containsText" text="TLE">
      <formula>NOT(ISERROR(SEARCH(("TLE"),(C3))))</formula>
    </cfRule>
    <cfRule type="containsText" dxfId="4" priority="9" operator="containsText" text="RTE">
      <formula>NOT(ISERROR(SEARCH(("RTE"),(C3))))</formula>
    </cfRule>
    <cfRule type="containsText" dxfId="3" priority="11" operator="containsText" text="CS">
      <formula>NOT(ISERROR(SEARCH(("CS"),(C3))))</formula>
    </cfRule>
  </conditionalFormatting>
  <conditionalFormatting sqref="K7:K981 M903">
    <cfRule type="cellIs" dxfId="2" priority="1" operator="equal">
      <formula>"No"</formula>
    </cfRule>
    <cfRule type="cellIs" dxfId="1" priority="2" operator="equal">
      <formula>"no"</formula>
    </cfRule>
    <cfRule type="cellIs" dxfId="0" priority="3" operator="equal">
      <formula>"NO"</formula>
    </cfRule>
  </conditionalFormatting>
  <hyperlinks>
    <hyperlink ref="M94" r:id="rId1" xr:uid="{00000000-0004-0000-0900-000000000000}"/>
    <hyperlink ref="M141" r:id="rId2" xr:uid="{00000000-0004-0000-0900-000001000000}"/>
    <hyperlink ref="M237" r:id="rId3" xr:uid="{00000000-0004-0000-0900-000002000000}"/>
    <hyperlink ref="M238" r:id="rId4" xr:uid="{00000000-0004-0000-0900-000003000000}"/>
    <hyperlink ref="M475" r:id="rId5" xr:uid="{00000000-0004-0000-0900-000004000000}"/>
    <hyperlink ref="M496" r:id="rId6" xr:uid="{00000000-0004-0000-0900-000005000000}"/>
    <hyperlink ref="M559" r:id="rId7" xr:uid="{00000000-0004-0000-0900-000006000000}"/>
    <hyperlink ref="B605" r:id="rId8" xr:uid="{00000000-0004-0000-0900-000007000000}"/>
    <hyperlink ref="M605" r:id="rId9" xr:uid="{00000000-0004-0000-0900-000008000000}"/>
    <hyperlink ref="M868" r:id="rId10" xr:uid="{00000000-0004-0000-0900-000009000000}"/>
  </hyperlinks>
  <pageMargins left="0.7" right="0.7" top="0.75" bottom="0.75" header="0.3" footer="0.3"/>
  <legacyDrawing r:id="rId1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B72"/>
  <sheetViews>
    <sheetView workbookViewId="0">
      <selection activeCell="C30" sqref="C30"/>
    </sheetView>
  </sheetViews>
  <sheetFormatPr defaultColWidth="15.1796875" defaultRowHeight="15.75" customHeight="1"/>
  <cols>
    <col min="1" max="1" width="17.1796875" customWidth="1"/>
    <col min="2" max="2" width="101.26953125" customWidth="1"/>
  </cols>
  <sheetData>
    <row r="1" spans="1:2" ht="15.75" customHeight="1">
      <c r="B1" s="337" t="s">
        <v>1799</v>
      </c>
    </row>
    <row r="2" spans="1:2" ht="15.75" customHeight="1">
      <c r="B2" s="338" t="str">
        <f>HYPERLINK("https://www.youtube.com/watch?v=tKGztXjnnuA","Training Secrets of Success Video")</f>
        <v>Training Secrets of Success Video</v>
      </c>
    </row>
    <row r="5" spans="1:2" ht="15.75" customHeight="1">
      <c r="A5" s="29" t="s">
        <v>1800</v>
      </c>
    </row>
    <row r="6" spans="1:2" ht="15.75" customHeight="1">
      <c r="B6" s="12" t="s">
        <v>1801</v>
      </c>
    </row>
    <row r="7" spans="1:2" ht="15.75" customHeight="1">
      <c r="B7" s="12" t="s">
        <v>1802</v>
      </c>
    </row>
    <row r="9" spans="1:2" ht="15.75" customHeight="1">
      <c r="A9" s="29" t="s">
        <v>1803</v>
      </c>
    </row>
    <row r="10" spans="1:2" ht="15.75" customHeight="1">
      <c r="B10" s="12" t="s">
        <v>1804</v>
      </c>
    </row>
    <row r="11" spans="1:2" ht="15.75" customHeight="1">
      <c r="B11" s="339" t="str">
        <f>HYPERLINK("https://ask.fm/mostafasaad87/answers/144907000290","Striving against the problem for a reasonable time. If no, you need to change your solving spirit. Be a fighter.")</f>
        <v>Striving against the problem for a reasonable time. If no, you need to change your solving spirit. Be a fighter.</v>
      </c>
    </row>
    <row r="12" spans="1:2" ht="15.75" customHeight="1">
      <c r="B12" s="10" t="s">
        <v>1805</v>
      </c>
    </row>
    <row r="14" spans="1:2" ht="15.75" customHeight="1">
      <c r="A14" s="29" t="s">
        <v>1806</v>
      </c>
    </row>
    <row r="15" spans="1:2" ht="15.75" customHeight="1">
      <c r="B15" s="12" t="s">
        <v>1807</v>
      </c>
    </row>
    <row r="16" spans="1:2" ht="15.75" customHeight="1">
      <c r="B16" s="12" t="s">
        <v>1808</v>
      </c>
    </row>
    <row r="17" spans="1:2" ht="15.75" customHeight="1">
      <c r="B17" s="12" t="s">
        <v>1809</v>
      </c>
    </row>
    <row r="18" spans="1:2" ht="15.75" customHeight="1">
      <c r="B18" s="12" t="s">
        <v>1810</v>
      </c>
    </row>
    <row r="20" spans="1:2" ht="15.75" customHeight="1">
      <c r="A20" s="29" t="s">
        <v>1811</v>
      </c>
    </row>
    <row r="21" spans="1:2" ht="15.75" customHeight="1">
      <c r="B21" s="12" t="s">
        <v>1812</v>
      </c>
    </row>
    <row r="22" spans="1:2" ht="15.75" customHeight="1">
      <c r="B22" s="12" t="s">
        <v>1813</v>
      </c>
    </row>
    <row r="23" spans="1:2" ht="15.75" customHeight="1">
      <c r="B23" s="12" t="s">
        <v>1814</v>
      </c>
    </row>
    <row r="25" spans="1:2" ht="15.75" customHeight="1">
      <c r="A25" s="361" t="s">
        <v>1815</v>
      </c>
      <c r="B25" s="362"/>
    </row>
    <row r="26" spans="1:2" ht="15.75" customHeight="1">
      <c r="A26" s="362"/>
      <c r="B26" s="363" t="s">
        <v>1816</v>
      </c>
    </row>
    <row r="27" spans="1:2" ht="15.75" customHeight="1">
      <c r="A27" s="362"/>
      <c r="B27" s="363" t="s">
        <v>1817</v>
      </c>
    </row>
    <row r="29" spans="1:2" ht="15.75" customHeight="1">
      <c r="A29" s="29" t="s">
        <v>1818</v>
      </c>
    </row>
    <row r="30" spans="1:2" ht="15.75" customHeight="1">
      <c r="B30" s="12" t="s">
        <v>1819</v>
      </c>
    </row>
    <row r="31" spans="1:2" ht="15.75" customHeight="1">
      <c r="B31" s="12" t="s">
        <v>1820</v>
      </c>
    </row>
    <row r="33" spans="1:2" ht="15.75" customHeight="1">
      <c r="A33" s="29" t="s">
        <v>1821</v>
      </c>
    </row>
    <row r="34" spans="1:2" ht="15.75" customHeight="1">
      <c r="B34" s="12" t="s">
        <v>1822</v>
      </c>
    </row>
    <row r="35" spans="1:2" ht="15.75" customHeight="1">
      <c r="B35" s="12" t="s">
        <v>1823</v>
      </c>
    </row>
    <row r="36" spans="1:2" ht="15.75" customHeight="1">
      <c r="B36" s="12" t="s">
        <v>1824</v>
      </c>
    </row>
    <row r="37" spans="1:2" ht="12.5">
      <c r="B37" s="12" t="s">
        <v>1825</v>
      </c>
    </row>
    <row r="39" spans="1:2" ht="12.5">
      <c r="A39" s="29" t="s">
        <v>1826</v>
      </c>
    </row>
    <row r="40" spans="1:2" ht="12.5">
      <c r="B40" s="12" t="s">
        <v>1827</v>
      </c>
    </row>
    <row r="41" spans="1:2" ht="12.5">
      <c r="B41" s="12" t="s">
        <v>1828</v>
      </c>
    </row>
    <row r="43" spans="1:2" ht="12.5">
      <c r="A43" s="29" t="s">
        <v>1829</v>
      </c>
    </row>
    <row r="44" spans="1:2" ht="12.5">
      <c r="B44" s="12" t="s">
        <v>1830</v>
      </c>
    </row>
    <row r="45" spans="1:2" ht="12.5">
      <c r="B45" s="12" t="s">
        <v>1831</v>
      </c>
    </row>
    <row r="47" spans="1:2" ht="12.5">
      <c r="A47" s="29" t="s">
        <v>1832</v>
      </c>
    </row>
    <row r="48" spans="1:2" ht="12.5">
      <c r="B48" s="12" t="s">
        <v>1833</v>
      </c>
    </row>
    <row r="49" spans="1:2" ht="12.5">
      <c r="B49" s="12" t="s">
        <v>1834</v>
      </c>
    </row>
    <row r="50" spans="1:2" ht="25">
      <c r="B50" s="12" t="s">
        <v>1835</v>
      </c>
    </row>
    <row r="52" spans="1:2" ht="12.5">
      <c r="A52" s="29" t="s">
        <v>1836</v>
      </c>
    </row>
    <row r="53" spans="1:2" ht="12.5">
      <c r="B53" s="12" t="s">
        <v>1837</v>
      </c>
    </row>
    <row r="54" spans="1:2" ht="12.5">
      <c r="B54" s="12" t="s">
        <v>1838</v>
      </c>
    </row>
    <row r="55" spans="1:2" ht="12.5">
      <c r="B55" s="12" t="s">
        <v>1839</v>
      </c>
    </row>
    <row r="57" spans="1:2" ht="12.5">
      <c r="A57" s="29" t="s">
        <v>1840</v>
      </c>
    </row>
    <row r="58" spans="1:2" ht="12.5">
      <c r="B58" s="12" t="s">
        <v>1841</v>
      </c>
    </row>
    <row r="60" spans="1:2" ht="25">
      <c r="A60" s="29" t="s">
        <v>1842</v>
      </c>
    </row>
    <row r="61" spans="1:2" ht="12.5">
      <c r="B61" s="12" t="s">
        <v>1843</v>
      </c>
    </row>
    <row r="62" spans="1:2" ht="12.5">
      <c r="B62" s="12" t="s">
        <v>1844</v>
      </c>
    </row>
    <row r="63" spans="1:2" ht="12.5">
      <c r="B63" s="12" t="s">
        <v>1845</v>
      </c>
    </row>
    <row r="64" spans="1:2" ht="12.5">
      <c r="B64" s="12" t="s">
        <v>1846</v>
      </c>
    </row>
    <row r="65" spans="2:2" ht="12.5">
      <c r="B65" s="12" t="s">
        <v>1847</v>
      </c>
    </row>
    <row r="66" spans="2:2" ht="12.5">
      <c r="B66" s="12" t="s">
        <v>1848</v>
      </c>
    </row>
    <row r="67" spans="2:2" ht="12.5">
      <c r="B67" s="12" t="s">
        <v>1849</v>
      </c>
    </row>
    <row r="68" spans="2:2" ht="12.5">
      <c r="B68" s="12" t="s">
        <v>1850</v>
      </c>
    </row>
    <row r="69" spans="2:2" ht="12.5">
      <c r="B69" s="12" t="s">
        <v>1851</v>
      </c>
    </row>
    <row r="70" spans="2:2" ht="12.5">
      <c r="B70" s="12" t="s">
        <v>1852</v>
      </c>
    </row>
    <row r="71" spans="2:2" ht="12.5">
      <c r="B71" s="12"/>
    </row>
    <row r="72" spans="2:2" ht="12.5">
      <c r="B72" s="340" t="s">
        <v>1853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Info</vt:lpstr>
      <vt:lpstr>FAQ</vt:lpstr>
      <vt:lpstr>A</vt:lpstr>
      <vt:lpstr>B</vt:lpstr>
      <vt:lpstr>C1</vt:lpstr>
      <vt:lpstr>C2</vt:lpstr>
      <vt:lpstr>D1</vt:lpstr>
      <vt:lpstr>D2</vt:lpstr>
      <vt:lpstr>D3</vt:lpstr>
      <vt:lpstr>Topics</vt:lpstr>
      <vt:lpstr>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Imad_ZSI</dc:creator>
  <cp:lastModifiedBy>Ramy Amir</cp:lastModifiedBy>
  <dcterms:created xsi:type="dcterms:W3CDTF">2025-05-15T06:40:39Z</dcterms:created>
  <dcterms:modified xsi:type="dcterms:W3CDTF">2026-03-08T15:48:53Z</dcterms:modified>
</cp:coreProperties>
</file>